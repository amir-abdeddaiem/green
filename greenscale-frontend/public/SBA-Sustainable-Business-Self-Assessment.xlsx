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66925"/>
  <mc:AlternateContent xmlns:mc="http://schemas.openxmlformats.org/markup-compatibility/2006">
    <mc:Choice Requires="x15">
      <x15ac:absPath xmlns:x15ac="http://schemas.microsoft.com/office/spreadsheetml/2010/11/ac" url="https://sustainablebusinessalliance-my.sharepoint.com/personal/simon_derrick_sustainablebusinessalliance_org_uk/Documents/SBA/Tools/Final Tools/ESG Assessment/"/>
    </mc:Choice>
  </mc:AlternateContent>
  <xr:revisionPtr revIDLastSave="52" documentId="13_ncr:1_{98E8ADD3-02D5-4E0D-900F-7B97042ACB95}" xr6:coauthVersionLast="47" xr6:coauthVersionMax="47" xr10:uidLastSave="{FE0D7A9B-8060-4F54-957A-8EAF3FD8509C}"/>
  <bookViews>
    <workbookView xWindow="-108" yWindow="-108" windowWidth="23256" windowHeight="13896" activeTab="3" xr2:uid="{00000000-000D-0000-FFFF-FFFF00000000}"/>
  </bookViews>
  <sheets>
    <sheet name="Cover Page" sheetId="26" r:id="rId1"/>
    <sheet name="Instructions" sheetId="25" r:id="rId2"/>
    <sheet name="Scores" sheetId="22" state="hidden" r:id="rId3"/>
    <sheet name="Self Assessment" sheetId="10" r:id="rId4"/>
    <sheet name="Report" sheetId="23" r:id="rId5"/>
    <sheet name="Refs" sheetId="8" state="hidden" r:id="rId6"/>
  </sheets>
  <definedNames>
    <definedName name="_xlnm._FilterDatabase" localSheetId="3" hidden="1">'Self Assessment'!$B$9:$E$37</definedName>
    <definedName name="dropdown">Refs!$A$2:$A$6</definedName>
    <definedName name="mat">Refs!#REF!</definedName>
    <definedName name="score">Refs!$A$1:$A$7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3" l="1"/>
  <c r="B8" i="23" l="1"/>
  <c r="B16" i="23" l="1"/>
  <c r="B9" i="23"/>
  <c r="B10" i="23"/>
  <c r="B11" i="23"/>
  <c r="B12" i="23"/>
  <c r="B13" i="23"/>
  <c r="B14" i="23"/>
  <c r="B25" i="23"/>
  <c r="B26" i="23"/>
  <c r="B27" i="23"/>
  <c r="B28" i="23"/>
  <c r="B29" i="23"/>
  <c r="B24" i="23"/>
  <c r="B17" i="23"/>
  <c r="B18" i="23"/>
  <c r="B19" i="23"/>
  <c r="B20" i="23"/>
  <c r="B21" i="23"/>
  <c r="B22" i="23"/>
  <c r="G10" i="10"/>
  <c r="H10" i="10" s="1"/>
  <c r="C8" i="23" l="1"/>
  <c r="G16" i="10"/>
  <c r="H16" i="10" s="1"/>
  <c r="G15" i="10"/>
  <c r="H15" i="10" s="1"/>
  <c r="G14" i="10"/>
  <c r="H14" i="10" s="1"/>
  <c r="G13" i="10"/>
  <c r="H13" i="10" s="1"/>
  <c r="G12" i="10"/>
  <c r="G11" i="10"/>
  <c r="H11" i="10" s="1"/>
  <c r="G27" i="10"/>
  <c r="H27" i="10" s="1"/>
  <c r="G26" i="10"/>
  <c r="H26" i="10" s="1"/>
  <c r="G25" i="10"/>
  <c r="H25" i="10" s="1"/>
  <c r="G24" i="10"/>
  <c r="H24" i="10" s="1"/>
  <c r="G23" i="10"/>
  <c r="G22" i="10"/>
  <c r="H22" i="10" s="1"/>
  <c r="G21" i="10"/>
  <c r="G37" i="10"/>
  <c r="H37" i="10" s="1"/>
  <c r="G36" i="10"/>
  <c r="H36" i="10" s="1"/>
  <c r="G35" i="10"/>
  <c r="H35" i="10" s="1"/>
  <c r="G34" i="10"/>
  <c r="H34" i="10" s="1"/>
  <c r="G33" i="10"/>
  <c r="H33" i="10" s="1"/>
  <c r="G32" i="10"/>
  <c r="C27" i="22"/>
  <c r="C28" i="22"/>
  <c r="C29" i="22"/>
  <c r="C30" i="22"/>
  <c r="C31" i="22"/>
  <c r="C32" i="22"/>
  <c r="C34" i="22"/>
  <c r="C35" i="22"/>
  <c r="C36" i="22"/>
  <c r="H21" i="10" l="1"/>
  <c r="D28" i="10"/>
  <c r="H12" i="10"/>
  <c r="C10" i="23" s="1"/>
  <c r="D17" i="10"/>
  <c r="H32" i="10"/>
  <c r="C24" i="23" s="1"/>
  <c r="D38" i="10"/>
  <c r="H23" i="10"/>
  <c r="C18" i="23" s="1"/>
  <c r="C30" i="23"/>
  <c r="C20" i="23"/>
  <c r="C22" i="23"/>
  <c r="C11" i="23"/>
  <c r="C21" i="23"/>
  <c r="C29" i="23"/>
  <c r="C17" i="23"/>
  <c r="C19" i="23"/>
  <c r="C14" i="23"/>
  <c r="C9" i="23"/>
  <c r="C12" i="23"/>
  <c r="C13" i="23"/>
  <c r="C25" i="23"/>
  <c r="C26" i="23"/>
  <c r="C28" i="23"/>
  <c r="C27" i="23"/>
  <c r="C33" i="22"/>
  <c r="C16" i="23" l="1"/>
  <c r="C5" i="23"/>
  <c r="C15" i="23" l="1"/>
  <c r="C23" i="23"/>
  <c r="C7" i="23"/>
  <c r="C40" i="22" l="1"/>
  <c r="C39" i="22"/>
  <c r="C38" i="22"/>
  <c r="C37" i="22"/>
  <c r="C26" i="22"/>
  <c r="C25" i="22"/>
  <c r="C17" i="22"/>
  <c r="D10" i="22"/>
  <c r="D31" i="22"/>
  <c r="E31" i="22" s="1"/>
  <c r="D9" i="22"/>
  <c r="C13" i="22"/>
  <c r="C18" i="22"/>
  <c r="C16" i="22"/>
  <c r="C15" i="22"/>
  <c r="C14" i="22"/>
  <c r="C12" i="22"/>
  <c r="C11" i="22"/>
  <c r="C10" i="22"/>
  <c r="C8" i="22"/>
  <c r="D18" i="22"/>
  <c r="C7" i="22"/>
  <c r="D19" i="22"/>
  <c r="D8" i="22"/>
  <c r="D11" i="22"/>
  <c r="D13" i="22"/>
  <c r="D17" i="22"/>
  <c r="C5" i="22"/>
  <c r="D25" i="22"/>
  <c r="D14" i="22"/>
  <c r="D15" i="22"/>
  <c r="D16" i="22"/>
  <c r="C6" i="22"/>
  <c r="E6" i="22" s="1"/>
  <c r="D20" i="22"/>
  <c r="D5" i="22"/>
  <c r="C20" i="22"/>
  <c r="D6" i="22"/>
  <c r="D12" i="22"/>
  <c r="C9" i="22"/>
  <c r="C19" i="22"/>
  <c r="E19" i="22" s="1"/>
  <c r="D7" i="22"/>
  <c r="D40" i="22"/>
  <c r="D39" i="22"/>
  <c r="D38" i="22"/>
  <c r="D37" i="22"/>
  <c r="D36" i="22"/>
  <c r="E36" i="22" s="1"/>
  <c r="D35" i="22"/>
  <c r="E35" i="22" s="1"/>
  <c r="D34" i="22"/>
  <c r="E34" i="22" s="1"/>
  <c r="D33" i="22"/>
  <c r="E33" i="22" s="1"/>
  <c r="D32" i="22"/>
  <c r="E32" i="22" s="1"/>
  <c r="D30" i="22"/>
  <c r="E30" i="22" s="1"/>
  <c r="D29" i="22"/>
  <c r="E29" i="22" s="1"/>
  <c r="D28" i="22"/>
  <c r="E28" i="22" s="1"/>
  <c r="D27" i="22"/>
  <c r="E27" i="22" s="1"/>
  <c r="D26" i="22"/>
  <c r="E11" i="22" l="1"/>
  <c r="E10" i="22"/>
  <c r="E13" i="22"/>
  <c r="E14" i="22"/>
  <c r="E12" i="22"/>
  <c r="E15" i="22"/>
  <c r="E25" i="22"/>
  <c r="E9" i="22"/>
  <c r="E7" i="22"/>
  <c r="E26" i="22"/>
  <c r="E16" i="22"/>
  <c r="E37" i="22"/>
  <c r="E38" i="22"/>
  <c r="E17" i="22"/>
  <c r="E20" i="22"/>
  <c r="E18" i="22"/>
  <c r="E39" i="22"/>
  <c r="E5" i="22"/>
  <c r="E8" i="22"/>
  <c r="E40" i="22"/>
  <c r="F31" i="22" l="1"/>
  <c r="F40" i="22"/>
  <c r="F35" i="22"/>
  <c r="F33" i="22"/>
  <c r="F30" i="22"/>
  <c r="F39" i="22"/>
  <c r="F28" i="22"/>
  <c r="F29" i="22"/>
  <c r="F36" i="22"/>
  <c r="F27" i="22"/>
  <c r="F38" i="22"/>
  <c r="F34" i="22"/>
  <c r="F37" i="22"/>
  <c r="F26" i="22"/>
  <c r="F32" i="22"/>
  <c r="F25" i="22"/>
  <c r="F20" i="22"/>
  <c r="F6" i="22"/>
  <c r="F7" i="22"/>
  <c r="F5" i="22"/>
  <c r="F8" i="22"/>
  <c r="F17" i="22"/>
  <c r="F9" i="22"/>
  <c r="F10" i="22"/>
  <c r="F11" i="22"/>
  <c r="F12" i="22"/>
  <c r="F13" i="22"/>
  <c r="F14" i="22"/>
  <c r="F15" i="22"/>
  <c r="F16" i="22"/>
  <c r="F18" i="22"/>
  <c r="F19" i="22"/>
  <c r="G30" i="22" l="1"/>
  <c r="G36" i="22"/>
  <c r="G37" i="22"/>
  <c r="G35" i="22"/>
  <c r="G33" i="22"/>
  <c r="G40" i="22"/>
  <c r="G39" i="22"/>
  <c r="G32" i="22"/>
  <c r="G38" i="22"/>
  <c r="G31" i="22"/>
  <c r="G28" i="22"/>
  <c r="G29" i="22"/>
  <c r="G34" i="22"/>
  <c r="G27" i="22"/>
  <c r="G26" i="22"/>
  <c r="G15" i="22"/>
  <c r="G16" i="22"/>
  <c r="G9" i="22"/>
  <c r="G12" i="22"/>
  <c r="G25" i="22"/>
  <c r="G14" i="22"/>
  <c r="G17" i="22"/>
  <c r="G8" i="22"/>
  <c r="G7" i="22"/>
  <c r="G19" i="22"/>
  <c r="G10" i="22"/>
  <c r="G6" i="22"/>
  <c r="G18" i="22"/>
  <c r="G13" i="22"/>
  <c r="G11" i="22"/>
  <c r="G5" i="22"/>
  <c r="G20" i="22"/>
</calcChain>
</file>

<file path=xl/sharedStrings.xml><?xml version="1.0" encoding="utf-8"?>
<sst xmlns="http://schemas.openxmlformats.org/spreadsheetml/2006/main" count="174" uniqueCount="105">
  <si>
    <t>Score</t>
  </si>
  <si>
    <t>Waste</t>
  </si>
  <si>
    <t>Energy</t>
  </si>
  <si>
    <t>Emissions</t>
  </si>
  <si>
    <t>Biodiversity</t>
  </si>
  <si>
    <t>Materials</t>
  </si>
  <si>
    <t>Training and Development</t>
  </si>
  <si>
    <t>Water and Effluents</t>
  </si>
  <si>
    <t>Health and Wellbeing</t>
  </si>
  <si>
    <t>Topic</t>
  </si>
  <si>
    <t>Reporting and Transparency</t>
  </si>
  <si>
    <t>N/A</t>
  </si>
  <si>
    <t>Total Score</t>
  </si>
  <si>
    <t>Are mechanisms in place for continuous monitoring and reporting of risks and compliance related to fraud and corruption?</t>
  </si>
  <si>
    <t>Are mechanisms in place to ensure the fundamental rights to privacy and data protection of all its stakeholders when processing personal data?</t>
  </si>
  <si>
    <t>Data Privacy</t>
  </si>
  <si>
    <t>Fraud and Corruption</t>
  </si>
  <si>
    <t>Modern Slavery</t>
  </si>
  <si>
    <t>Labour Practices</t>
  </si>
  <si>
    <t>Employee Representation</t>
  </si>
  <si>
    <t>Financial Materiality</t>
  </si>
  <si>
    <t>Impact Materiality</t>
  </si>
  <si>
    <t>Do you monitor and report your Greenhouse Gas emissions, and do you have a science-based target with a clear plan to achieve Net Zero?</t>
  </si>
  <si>
    <t>Do you ensure pay and benefits are sufficient for employees to cover living costs and maintain a healthy work-life balance?</t>
  </si>
  <si>
    <t>Fair Compensation</t>
  </si>
  <si>
    <t>Do your policies and practices ensure all individuals, regardless of background, identity, or circumstances, have fair opportunities, equal treatment, and a sense of belonging in your workplace?</t>
  </si>
  <si>
    <t>Do you have policies that promote health and well-being, ensure safe working conditions, and provide fair access to parental leave?</t>
  </si>
  <si>
    <t>Do you engage with local communities to assess and mitigate its impact, and actively contribute to social and economic well-being?</t>
  </si>
  <si>
    <t>Strategic Alignment</t>
  </si>
  <si>
    <t>Do you publicly report on your organisation’s social and environmental impact, including progress toward targets, and has the data been independently verified?</t>
  </si>
  <si>
    <t>Do you assess social and environmental impacts of key suppliers, set expectations for responsible practices, and engage them to drive improvements?</t>
  </si>
  <si>
    <t>Do you have clear processes for employee engagement, representation, feedback, and grievance resolution?</t>
  </si>
  <si>
    <t>Do you implement measures to improve water efficiency and conservation, including increasing the use of recycled or recovered water and ensuring where relevant that wastewater management complies with legal and regulatory standards?</t>
  </si>
  <si>
    <t>Have you set measurable targets for each priority and developed action plans to achieve them, embedding responsibilities into job roles and performance objectives, with necessary training provided?</t>
  </si>
  <si>
    <t>Integrated Planning</t>
  </si>
  <si>
    <t>Has your company identified its key social, environmental, and governance (ESG) priorities through a structured assessment (e.g., materiality assessment) and aligned them with its mission and business strategy?</t>
  </si>
  <si>
    <t>▪ Information on targets set againt highest priority ESG topics
▪ Information on key actions and initiatives taken to achieve targets
▪ Approach to defining roles, responsibilities, and accountability.</t>
  </si>
  <si>
    <t>▪ Information on the company's mission and alignment to ESG priorities
▪ Matereriality Assessment report including a list of material ESG topics</t>
  </si>
  <si>
    <t>▪ Information on where to find details on social and environmental performance
▪ Evidence of third-party verification (e.g. Limited or Reasonable Assurance Report)</t>
  </si>
  <si>
    <t>▪ Information on risks related to fraud and corruption.
▪ Total number and nature of confirmed incidents of corruption.</t>
  </si>
  <si>
    <t>▪ Information on measures taken to protect data and privacy. 
▪ Number of substantiated complaints received concerning breaches of privacy of stakeholders</t>
  </si>
  <si>
    <t>▪ Percentage of significant suppliers evaluated for social and environmental impacts.
▪ Information on how suppliers are engaged to improve social and environmental performance
▪ Information on on social and environmental requirements for key suppliers</t>
  </si>
  <si>
    <t>▪ Operations at significant risk for incidents of child labour, forced labour and human trafficking
▪ Information on actions taken to mitigate the risk of modern slavery within the supply chain</t>
  </si>
  <si>
    <t>Reporting Disclosures</t>
  </si>
  <si>
    <t>▪ Information on the nature of significant direct and indirect impacts on biodiversity
▪ Initiatives to reduce impacts on biodiversity from the company's operations or suppliers.</t>
  </si>
  <si>
    <t>▪ Consumable materials used by material type and weight and information on their environmental impacts
▪ Plans to improve the environmental impact of consumable materials used
▪ Information on any chemicals and materials of concern used and plans to elimate them</t>
  </si>
  <si>
    <t>▪ Waste generated by material and means of disposal
▪ Information on recovery and recycling programs in place
▪ Hazardous waste generated by material and means of disposal</t>
  </si>
  <si>
    <t>▪ Total water withdrawals by source
▪ Information on water efficiency measures implemented by the company.
▪ Total Freshwater and Non-Freshwater discharges</t>
  </si>
  <si>
    <t>▪ Total Scope 1,2 and 3 Greenhouse Gas Emissions (Co2e)
▪ Information on Net Zero targets and alignment to Science Based Targets
▪ Information on the company's emissions reduction plan</t>
  </si>
  <si>
    <t>▪ Total energy consumption within the organisation
▪ Information on energy efficieny meausures implemented
▪ Percentage of energy consumed from renewable sources</t>
  </si>
  <si>
    <t>▪ Information on the company's training and development policy. 
▪ Average number of training hours per employee per year.
▪ Percentage of employees receiving regular performance and career development reviews</t>
  </si>
  <si>
    <t>▪ Ratios of standard entry level wage by gender compared to local minimum wage.
▪ Information on any living wage assessments carried out and measures taken to close any living wage gap.
▪ Number of days of annual paid leave provided for full time employees.</t>
  </si>
  <si>
    <t>▪ Diversity of governance bodies and employees
▪ Ratio of basic salary and remuneration of women to men
▪ Information on the company's Diversity, Equity and Inclusion policy</t>
  </si>
  <si>
    <t>▪ Percentage of the company's expenditure on local suppliers
▪ Percentage of the company's managers hired form the local area
▪ The total value of funds and in-kind assistance provided for community charities or causes.</t>
  </si>
  <si>
    <t>▪ Total number of employees by employment type and contract
▪ Employee retention or turnover rate
▪ Percentage of employees covered by collective bargaining agreements</t>
  </si>
  <si>
    <t>Do you have policies and practices in place to ensure fair and stable employment conditions, including full-time and contract work, employee turnover management, and collective bargaining rights?</t>
  </si>
  <si>
    <t>Local Communities</t>
  </si>
  <si>
    <t>Diversity and Equality</t>
  </si>
  <si>
    <t>Operational Costs</t>
  </si>
  <si>
    <t>Liability Risks</t>
  </si>
  <si>
    <t>▪ Employee engagement processes in place, including surveys, worker councils, and grievance mechanisms.
▪ Proportion of employees covered by formal representation structures 
▪ Number of employee grievances reported and categorised by type (e.g., harassment, discrimination)</t>
  </si>
  <si>
    <t>▪ Information on measures taken to promote health and wellbeing and ensure safe working conditions
▪ Number of weeks of paid Parental Leave offered to male and female staff 
▪ The number and rate of recordable work related injuries and fatalities</t>
  </si>
  <si>
    <t>Environmental Score</t>
  </si>
  <si>
    <t>Social Score</t>
  </si>
  <si>
    <t>Governance Score</t>
  </si>
  <si>
    <t>`</t>
  </si>
  <si>
    <t>Ranking</t>
  </si>
  <si>
    <t>Normalised Ranking</t>
  </si>
  <si>
    <t>Please Select</t>
  </si>
  <si>
    <t>Procurement</t>
  </si>
  <si>
    <t>Governance Dimension</t>
  </si>
  <si>
    <t>Social Dimension</t>
  </si>
  <si>
    <t>Environmental Dimension</t>
  </si>
  <si>
    <t>Operational Impacts</t>
  </si>
  <si>
    <t>Supply Chain Impacts</t>
  </si>
  <si>
    <t>Do you monitor the waste generated by your organisation, have a plan to maximise reduction, reuse, and recycling, and, where applicable, ensure hazardous waste is managed and disposed of responsibly?</t>
  </si>
  <si>
    <t>Governance</t>
  </si>
  <si>
    <t>Social</t>
  </si>
  <si>
    <t>Environment</t>
  </si>
  <si>
    <t>Rating</t>
  </si>
  <si>
    <t>Instructions</t>
  </si>
  <si>
    <t>Copyright © 2025 Sustainable Business Alliance. All rights reserved. VAT Number: GB482165582. Registered Company Number: 14752074</t>
  </si>
  <si>
    <t>Have you assessed and taken steps to identify and mitigate modern slavery risks in your supply chain?</t>
  </si>
  <si>
    <t>Does your business monitor and reduce the environmental impact of the materials it uses, including packaging, and, where applicable, have a plan to identify and eliminate potentially harmful chemicals in its products or processes?</t>
  </si>
  <si>
    <t>Does your business monitor and report energy usage, implement measures to improve efficiency and conservation, and use 100% renewable energy or have a clear plan to transition?</t>
  </si>
  <si>
    <t>Mostly achieved but still room to improve</t>
  </si>
  <si>
    <t>Making progress but not yet there</t>
  </si>
  <si>
    <t>Just getting started</t>
  </si>
  <si>
    <t>Not yet started</t>
  </si>
  <si>
    <t>Fully achieved and working well</t>
  </si>
  <si>
    <t>N/A – Not material to our organisation</t>
  </si>
  <si>
    <t>General Information</t>
  </si>
  <si>
    <t>Please enter the name of the organisation</t>
  </si>
  <si>
    <t>Example Company</t>
  </si>
  <si>
    <t>Response</t>
  </si>
  <si>
    <t>Question</t>
  </si>
  <si>
    <t>Sustainable Business Self Assessment</t>
  </si>
  <si>
    <t>Welcome to the SBA Sustainable Business Self Assessment This simple tool is designed to help you reflect on your current sustainability practices and identify areas where your business can improve. By completing the Scorecard, you’ll get a clear, high-level picture of how well you are managing key environmental, social, and governance (ESG) topics. The results can help you prioritise actions, communicate progress to stakeholders, or start conversations within your business about how to embed sustainability.</t>
  </si>
  <si>
    <t>Please go to the Self Assessment and complete the questions by selecting the appropriate options from the dropdown menus.</t>
  </si>
  <si>
    <r>
      <rPr>
        <b/>
        <sz val="12"/>
        <color theme="1"/>
        <rFont val="Calibri"/>
        <family val="2"/>
        <scheme val="minor"/>
      </rPr>
      <t>Why is this important?</t>
    </r>
    <r>
      <rPr>
        <sz val="12"/>
        <color theme="1"/>
        <rFont val="Calibri"/>
        <family val="2"/>
        <scheme val="minor"/>
      </rPr>
      <t xml:space="preserve">
Understanding your sustainability performance is the first step towards making meaningful improvements. This Self Assessment has been created to help small and medium-sized businesses like yours take stock of where you are today — without the jargon or complexity of formal ESG frameworks.
Your results are for your own use and will not be shared without your permission.</t>
    </r>
  </si>
  <si>
    <t>Please complete the Self Assessment by answering the relevant questions.</t>
  </si>
  <si>
    <r>
      <t>How long will it take?</t>
    </r>
    <r>
      <rPr>
        <sz val="12"/>
        <color theme="1"/>
        <rFont val="Calibri"/>
        <family val="2"/>
        <scheme val="minor"/>
      </rPr>
      <t xml:space="preserve">
The Self Assessment is designed to be quick and easy to complete. It should take around 5-10 minutes, depending on how familiar you are with your business’s sustainability practices.
</t>
    </r>
    <r>
      <rPr>
        <b/>
        <sz val="12"/>
        <color theme="1"/>
        <rFont val="Calibri"/>
        <family val="2"/>
        <scheme val="minor"/>
      </rPr>
      <t>What do you need to do?</t>
    </r>
    <r>
      <rPr>
        <sz val="12"/>
        <color theme="1"/>
        <rFont val="Calibri"/>
        <family val="2"/>
        <scheme val="minor"/>
      </rPr>
      <t xml:space="preserve">
</t>
    </r>
    <r>
      <rPr>
        <b/>
        <sz val="12"/>
        <color theme="1"/>
        <rFont val="Calibri"/>
        <family val="2"/>
        <scheme val="minor"/>
      </rPr>
      <t xml:space="preserve">1. Go to the Scorecard tab. </t>
    </r>
    <r>
      <rPr>
        <sz val="12"/>
        <color theme="1"/>
        <rFont val="Calibri"/>
        <family val="2"/>
        <scheme val="minor"/>
      </rPr>
      <t xml:space="preserve">Read each question carefully and select the most appropriate answer from the dropdown options provided. Try to answer honestly based on what your business is currently doing, not what you plan to do in the future.
</t>
    </r>
    <r>
      <rPr>
        <b/>
        <sz val="12"/>
        <color theme="1"/>
        <rFont val="Calibri"/>
        <family val="2"/>
        <scheme val="minor"/>
      </rPr>
      <t xml:space="preserve">2. Review your results. </t>
    </r>
    <r>
      <rPr>
        <sz val="12"/>
        <color theme="1"/>
        <rFont val="Calibri"/>
        <family val="2"/>
        <scheme val="minor"/>
      </rPr>
      <t xml:space="preserve">After you’ve answered all the questions, go to the Report tab. Here, you will see your total score and a simple analysis of your results, highlighting your strengths and areas for improvement.
</t>
    </r>
  </si>
  <si>
    <t>Has your business implemented a training and development policy that ensures all full-time employees have access to training and professional development opportunities?</t>
  </si>
  <si>
    <t>Version 2. May 2025</t>
  </si>
  <si>
    <t>Do you measure and take steps to reduce your impact on nature and biodiversity, including initiatives to minimise supply chain 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</si>
</sst>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36"/>
      <color theme="0"/>
      <name val="Calibri"/>
      <family val="2"/>
      <scheme val="minor"/>
    </font>
    <font>
      <b/>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12"/>
      <color theme="1"/>
      <name val="Calibri"/>
      <family val="2"/>
      <scheme val="minor"/>
    </font>
    <font>
      <b/>
      <sz val="12"/>
      <color theme="0"/>
      <name val="Calibri"/>
      <family val="2"/>
      <scheme val="minor"/>
    </font>
    <font>
      <b/>
      <sz val="16"/>
      <color theme="0"/>
      <name val="Calibri"/>
      <family val="2"/>
      <scheme val="minor"/>
    </font>
    <font>
      <sz val="14"/>
      <color theme="1"/>
      <name val="Calibri"/>
      <family val="2"/>
      <scheme val="minor"/>
    </font>
    <font>
      <b/>
      <sz val="22"/>
      <color theme="1"/>
      <name val="Calibri"/>
      <family val="2"/>
      <scheme val="minor"/>
    </font>
    <font>
      <sz val="12"/>
      <color theme="0"/>
      <name val="Calibri"/>
      <family val="2"/>
      <scheme val="minor"/>
    </font>
    <font>
      <b/>
      <sz val="18"/>
      <color theme="1"/>
      <name val="Calibri"/>
      <family val="2"/>
      <scheme val="minor"/>
    </font>
    <font>
      <sz val="16"/>
      <color theme="1"/>
      <name val="Calibri"/>
      <family val="2"/>
      <scheme val="minor"/>
    </font>
    <font>
      <sz val="18"/>
      <color theme="0"/>
      <name val="Calibri"/>
      <family val="2"/>
      <scheme val="minor"/>
    </font>
    <font>
      <b/>
      <sz val="26"/>
      <color theme="0"/>
      <name val="Calibri"/>
      <family val="2"/>
      <scheme val="minor"/>
    </font>
    <font>
      <sz val="11"/>
      <color theme="0"/>
      <name val="Calibri"/>
      <family val="2"/>
      <scheme val="minor"/>
    </font>
    <font>
      <sz val="11"/>
      <color rgb="FFFF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6633"/>
        <bgColor indexed="64"/>
      </patternFill>
    </fill>
    <fill>
      <patternFill patternType="solid">
        <fgColor theme="2"/>
        <bgColor indexed="64"/>
      </patternFill>
    </fill>
    <fill>
      <patternFill patternType="solid">
        <fgColor rgb="FF84E29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s>
  <cellStyleXfs count="4">
    <xf numFmtId="0" fontId="0" fillId="0" borderId="0">
      <alignment vertical="top" wrapText="1"/>
    </xf>
    <xf numFmtId="0" fontId="9" fillId="0" borderId="0"/>
    <xf numFmtId="0" fontId="6" fillId="0" borderId="0"/>
    <xf numFmtId="0" fontId="5" fillId="0" borderId="0"/>
  </cellStyleXfs>
  <cellXfs count="68">
    <xf numFmtId="0" fontId="0" fillId="0" borderId="0" xfId="0">
      <alignment vertical="top" wrapText="1"/>
    </xf>
    <xf numFmtId="0" fontId="13" fillId="0" borderId="0" xfId="0" applyFont="1" applyAlignment="1">
      <alignment horizontal="center" vertical="center" wrapText="1"/>
    </xf>
    <xf numFmtId="0" fontId="13" fillId="0" borderId="0" xfId="0" applyFont="1" applyAlignment="1">
      <alignment vertical="center" wrapText="1"/>
    </xf>
    <xf numFmtId="0" fontId="0" fillId="0" borderId="0" xfId="0" applyAlignment="1">
      <alignment horizontal="left" vertical="top" wrapText="1"/>
    </xf>
    <xf numFmtId="0" fontId="15" fillId="5" borderId="1" xfId="0" applyFont="1" applyFill="1" applyBorder="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horizontal="center" vertical="top" wrapText="1"/>
    </xf>
    <xf numFmtId="0" fontId="0" fillId="0" borderId="0" xfId="0" applyAlignment="1">
      <alignment vertical="center" wrapText="1"/>
    </xf>
    <xf numFmtId="0" fontId="12" fillId="5" borderId="1" xfId="0" applyFont="1" applyFill="1" applyBorder="1" applyAlignment="1">
      <alignment vertical="center" wrapText="1"/>
    </xf>
    <xf numFmtId="0" fontId="13" fillId="0" borderId="1" xfId="0" applyFont="1" applyBorder="1" applyAlignment="1">
      <alignment horizontal="center" vertical="center" wrapText="1"/>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xf>
    <xf numFmtId="0" fontId="13" fillId="4" borderId="2" xfId="0" applyFont="1" applyFill="1" applyBorder="1" applyAlignment="1">
      <alignment vertical="center" wrapText="1"/>
    </xf>
    <xf numFmtId="0" fontId="13" fillId="8" borderId="1" xfId="0" applyFont="1" applyFill="1" applyBorder="1" applyAlignment="1">
      <alignment horizontal="center" vertical="center" wrapText="1"/>
    </xf>
    <xf numFmtId="0" fontId="13" fillId="8"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6" borderId="1" xfId="0" applyFont="1" applyFill="1" applyBorder="1" applyAlignment="1">
      <alignment horizontal="center" vertical="center"/>
    </xf>
    <xf numFmtId="164" fontId="13" fillId="6" borderId="1" xfId="0" applyNumberFormat="1" applyFont="1" applyFill="1" applyBorder="1" applyAlignment="1">
      <alignment horizontal="center" vertical="center"/>
    </xf>
    <xf numFmtId="0" fontId="13" fillId="0" borderId="0" xfId="0" applyFont="1" applyAlignment="1">
      <alignment vertical="center"/>
    </xf>
    <xf numFmtId="9" fontId="13" fillId="0" borderId="0" xfId="0" applyNumberFormat="1" applyFont="1" applyAlignment="1">
      <alignment horizontal="center" vertical="center" wrapText="1"/>
    </xf>
    <xf numFmtId="9" fontId="20" fillId="0" borderId="0" xfId="0" applyNumberFormat="1" applyFont="1" applyAlignment="1">
      <alignment vertical="center" wrapText="1"/>
    </xf>
    <xf numFmtId="0" fontId="23" fillId="0" borderId="0" xfId="0" applyFont="1" applyAlignment="1">
      <alignment vertical="center" wrapText="1"/>
    </xf>
    <xf numFmtId="0" fontId="18" fillId="3" borderId="7" xfId="0" applyFont="1" applyFill="1" applyBorder="1" applyAlignment="1">
      <alignment vertical="center" wrapText="1"/>
    </xf>
    <xf numFmtId="0" fontId="23" fillId="0" borderId="4" xfId="0" applyFont="1" applyBorder="1" applyAlignment="1">
      <alignment horizontal="center" vertical="center" wrapText="1"/>
    </xf>
    <xf numFmtId="0" fontId="7" fillId="5" borderId="8" xfId="0" applyFont="1" applyFill="1" applyBorder="1" applyAlignment="1">
      <alignment vertical="center" wrapText="1"/>
    </xf>
    <xf numFmtId="9" fontId="21" fillId="0" borderId="9" xfId="0" applyNumberFormat="1" applyFont="1" applyBorder="1" applyAlignment="1">
      <alignment horizontal="center" vertical="center" wrapText="1"/>
    </xf>
    <xf numFmtId="0" fontId="7" fillId="5" borderId="10" xfId="0" applyFont="1" applyFill="1" applyBorder="1" applyAlignment="1">
      <alignment vertical="center" wrapText="1"/>
    </xf>
    <xf numFmtId="9" fontId="21" fillId="0" borderId="11" xfId="0" applyNumberFormat="1" applyFont="1" applyBorder="1" applyAlignment="1">
      <alignment horizontal="center" vertical="center" wrapText="1"/>
    </xf>
    <xf numFmtId="0" fontId="10" fillId="3" borderId="12" xfId="0" applyFont="1" applyFill="1" applyBorder="1" applyAlignment="1">
      <alignment vertical="center" wrapText="1"/>
    </xf>
    <xf numFmtId="9" fontId="17" fillId="3" borderId="13" xfId="0" applyNumberFormat="1" applyFont="1" applyFill="1" applyBorder="1" applyAlignment="1">
      <alignment horizontal="center" vertical="center" wrapText="1"/>
    </xf>
    <xf numFmtId="0" fontId="7" fillId="5" borderId="14" xfId="0" applyFont="1" applyFill="1" applyBorder="1" applyAlignment="1">
      <alignment vertical="center" wrapText="1"/>
    </xf>
    <xf numFmtId="9" fontId="21" fillId="0" borderId="15" xfId="0" applyNumberFormat="1" applyFont="1" applyBorder="1" applyAlignment="1">
      <alignment horizontal="center" vertical="center" wrapText="1"/>
    </xf>
    <xf numFmtId="0" fontId="17" fillId="9" borderId="3" xfId="0" applyFont="1" applyFill="1" applyBorder="1" applyAlignment="1">
      <alignment vertical="center" wrapText="1"/>
    </xf>
    <xf numFmtId="0" fontId="16" fillId="0" borderId="0" xfId="0" applyFont="1" applyAlignment="1">
      <alignment vertical="center" wrapText="1"/>
    </xf>
    <xf numFmtId="0" fontId="20" fillId="5" borderId="0" xfId="0" applyFont="1" applyFill="1" applyAlignment="1">
      <alignment horizontal="center" vertical="center" wrapText="1"/>
    </xf>
    <xf numFmtId="0" fontId="0" fillId="3" borderId="0" xfId="0" applyFill="1">
      <alignment vertical="top" wrapText="1"/>
    </xf>
    <xf numFmtId="0" fontId="0" fillId="2" borderId="0" xfId="0" applyFill="1" applyAlignment="1">
      <alignment vertical="center" wrapText="1"/>
    </xf>
    <xf numFmtId="0" fontId="24" fillId="3" borderId="0" xfId="0" applyFont="1" applyFill="1" applyAlignment="1">
      <alignment horizontal="center" vertical="center" wrapText="1"/>
    </xf>
    <xf numFmtId="0" fontId="0" fillId="3" borderId="0" xfId="0" applyFill="1" applyAlignment="1">
      <alignment vertical="center" wrapText="1"/>
    </xf>
    <xf numFmtId="0" fontId="25" fillId="3" borderId="0" xfId="0" applyFont="1" applyFill="1" applyAlignment="1">
      <alignment horizontal="center" vertical="center" wrapText="1"/>
    </xf>
    <xf numFmtId="0" fontId="13" fillId="2" borderId="1" xfId="0" applyFont="1" applyFill="1" applyBorder="1" applyAlignment="1">
      <alignment vertical="center" wrapText="1"/>
    </xf>
    <xf numFmtId="9" fontId="0" fillId="0" borderId="0" xfId="0" applyNumberFormat="1">
      <alignment vertical="top" wrapText="1"/>
    </xf>
    <xf numFmtId="9" fontId="0" fillId="0" borderId="0" xfId="0" applyNumberFormat="1" applyAlignment="1">
      <alignment vertical="center" wrapText="1"/>
    </xf>
    <xf numFmtId="9" fontId="13" fillId="0" borderId="1" xfId="0" applyNumberFormat="1" applyFont="1" applyBorder="1" applyAlignment="1">
      <alignment horizontal="center" vertical="center" wrapText="1"/>
    </xf>
    <xf numFmtId="0" fontId="12" fillId="5"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4" fillId="7" borderId="1" xfId="0" applyFont="1" applyFill="1" applyBorder="1" applyAlignment="1" applyProtection="1">
      <alignment horizontal="center" vertical="center" wrapText="1"/>
      <protection locked="0"/>
    </xf>
    <xf numFmtId="0" fontId="10" fillId="9" borderId="2" xfId="0" applyFont="1" applyFill="1" applyBorder="1" applyAlignment="1">
      <alignment horizontal="center" vertical="center" wrapText="1"/>
    </xf>
    <xf numFmtId="0" fontId="10" fillId="9" borderId="2" xfId="0" applyFont="1" applyFill="1" applyBorder="1" applyAlignment="1">
      <alignment vertical="center" wrapText="1"/>
    </xf>
    <xf numFmtId="9" fontId="26" fillId="0" borderId="1" xfId="0" applyNumberFormat="1" applyFont="1" applyBorder="1" applyAlignment="1">
      <alignment horizontal="center" vertical="center" wrapText="1"/>
    </xf>
    <xf numFmtId="9" fontId="27" fillId="0" borderId="1" xfId="0" applyNumberFormat="1" applyFont="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11" fillId="3" borderId="0" xfId="0" applyFont="1" applyFill="1" applyAlignment="1">
      <alignment horizontal="center" vertical="center" wrapText="1"/>
    </xf>
    <xf numFmtId="0" fontId="19" fillId="5" borderId="0" xfId="0" applyFont="1" applyFill="1" applyAlignment="1">
      <alignment horizontal="center" vertical="center" wrapText="1"/>
    </xf>
    <xf numFmtId="0" fontId="24" fillId="3" borderId="0" xfId="0" applyFont="1" applyFill="1" applyAlignment="1">
      <alignment horizontal="center" vertical="center" wrapText="1"/>
    </xf>
    <xf numFmtId="0" fontId="14" fillId="3" borderId="6" xfId="0" applyFont="1" applyFill="1" applyBorder="1" applyAlignment="1">
      <alignment horizontal="left" vertical="center" wrapText="1"/>
    </xf>
    <xf numFmtId="0" fontId="14" fillId="3" borderId="0" xfId="0" applyFont="1" applyFill="1" applyAlignment="1">
      <alignment horizontal="left" vertical="center" wrapText="1"/>
    </xf>
    <xf numFmtId="0" fontId="18" fillId="3" borderId="5" xfId="0" applyFont="1" applyFill="1" applyBorder="1" applyAlignment="1">
      <alignment horizontal="center" vertical="center" wrapText="1"/>
    </xf>
    <xf numFmtId="0" fontId="25" fillId="3" borderId="0" xfId="0" applyFont="1" applyFill="1" applyAlignment="1">
      <alignment horizontal="center" vertical="center" wrapText="1"/>
    </xf>
    <xf numFmtId="0" fontId="4" fillId="2" borderId="16" xfId="0" applyFont="1" applyFill="1" applyBorder="1" applyAlignment="1">
      <alignment horizontal="center" vertical="center" wrapText="1"/>
    </xf>
    <xf numFmtId="9" fontId="22" fillId="5" borderId="0" xfId="0" applyNumberFormat="1" applyFont="1" applyFill="1" applyAlignment="1">
      <alignment horizontal="center" vertical="center"/>
    </xf>
    <xf numFmtId="0" fontId="25" fillId="3" borderId="0" xfId="0" applyFont="1" applyFill="1" applyAlignment="1">
      <alignment horizontal="center" vertical="center"/>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1" fillId="7" borderId="1" xfId="0" applyFont="1" applyFill="1" applyBorder="1" applyAlignment="1" applyProtection="1">
      <alignment horizontal="center" vertical="center" wrapText="1"/>
      <protection locked="0"/>
    </xf>
  </cellXfs>
  <cellStyles count="4">
    <cellStyle name="Normal" xfId="0" builtinId="0" customBuiltin="1"/>
    <cellStyle name="Normal 2" xfId="1" xr:uid="{7CEEDB28-5C76-4458-BFCB-67458405EABC}"/>
    <cellStyle name="Normal 3" xfId="2" xr:uid="{7A140A96-9834-45D3-80CC-FFB8D1D67373}"/>
    <cellStyle name="Normal 4" xfId="3" xr:uid="{0BAE44A7-9A23-46E4-835C-F59B3315B2D5}"/>
  </cellStyles>
  <dxfs count="26">
    <dxf>
      <font>
        <color theme="0"/>
      </font>
      <fill>
        <patternFill>
          <bgColor rgb="FFFF0000"/>
        </patternFill>
      </fill>
    </dxf>
    <dxf>
      <font>
        <color theme="0"/>
      </font>
      <fill>
        <patternFill>
          <bgColor theme="5"/>
        </patternFill>
      </fill>
    </dxf>
    <dxf>
      <font>
        <color theme="1"/>
      </font>
      <fill>
        <patternFill>
          <bgColor theme="7"/>
        </patternFill>
      </fill>
    </dxf>
    <dxf>
      <font>
        <color theme="1"/>
      </font>
      <fill>
        <patternFill>
          <bgColor theme="9" tint="0.39994506668294322"/>
        </patternFill>
      </fill>
    </dxf>
    <dxf>
      <font>
        <color theme="0"/>
      </font>
      <fill>
        <patternFill>
          <bgColor rgb="FF92D050"/>
        </patternFill>
      </fill>
    </dxf>
    <dxf>
      <font>
        <color theme="0"/>
      </font>
      <fill>
        <patternFill patternType="solid">
          <bgColor rgb="FF84E291"/>
        </patternFill>
      </fill>
    </dxf>
    <dxf>
      <font>
        <color theme="1"/>
      </font>
      <fill>
        <patternFill>
          <bgColor theme="9" tint="0.39994506668294322"/>
        </patternFill>
      </fill>
    </dxf>
    <dxf>
      <font>
        <color theme="1"/>
      </font>
      <fill>
        <patternFill>
          <bgColor rgb="FF92D050"/>
        </patternFill>
      </fill>
    </dxf>
    <dxf>
      <font>
        <color theme="1"/>
      </font>
      <fill>
        <patternFill>
          <bgColor theme="7"/>
        </patternFill>
      </fill>
    </dxf>
    <dxf>
      <font>
        <color theme="1"/>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1"/>
      </font>
      <fill>
        <patternFill>
          <bgColor theme="7"/>
        </patternFill>
      </fill>
    </dxf>
    <dxf>
      <font>
        <color theme="1"/>
      </font>
      <fill>
        <patternFill>
          <bgColor theme="9" tint="0.39994506668294322"/>
        </patternFill>
      </fill>
    </dxf>
    <dxf>
      <font>
        <color theme="0"/>
      </font>
      <fill>
        <patternFill>
          <bgColor rgb="FF92D050"/>
        </patternFill>
      </fill>
    </dxf>
    <dxf>
      <font>
        <color theme="0"/>
      </font>
      <fill>
        <patternFill>
          <bgColor rgb="FFFF0000"/>
        </patternFill>
      </fill>
    </dxf>
    <dxf>
      <font>
        <color theme="0"/>
      </font>
      <fill>
        <patternFill>
          <bgColor theme="5"/>
        </patternFill>
      </fill>
    </dxf>
    <dxf>
      <font>
        <color theme="1"/>
      </font>
      <fill>
        <patternFill>
          <bgColor theme="7"/>
        </patternFill>
      </fill>
    </dxf>
    <dxf>
      <font>
        <color theme="1"/>
      </font>
      <fill>
        <patternFill>
          <bgColor theme="9" tint="0.39994506668294322"/>
        </patternFill>
      </fill>
    </dxf>
    <dxf>
      <font>
        <color theme="0"/>
      </font>
      <fill>
        <patternFill>
          <bgColor rgb="FF92D050"/>
        </patternFill>
      </fill>
    </dxf>
    <dxf>
      <font>
        <color theme="0"/>
      </font>
      <fill>
        <patternFill>
          <bgColor rgb="FFFF0000"/>
        </patternFill>
      </fill>
    </dxf>
    <dxf>
      <font>
        <color theme="0"/>
      </font>
      <fill>
        <patternFill>
          <bgColor theme="5"/>
        </patternFill>
      </fill>
    </dxf>
    <dxf>
      <font>
        <color theme="1"/>
      </font>
      <fill>
        <patternFill>
          <bgColor theme="7"/>
        </patternFill>
      </fill>
    </dxf>
    <dxf>
      <font>
        <color theme="1"/>
      </font>
      <fill>
        <patternFill>
          <bgColor theme="9" tint="0.39994506668294322"/>
        </patternFill>
      </fill>
    </dxf>
    <dxf>
      <font>
        <color theme="0"/>
      </font>
      <fill>
        <patternFill>
          <bgColor rgb="FF92D050"/>
        </patternFill>
      </fill>
    </dxf>
  </dxfs>
  <tableStyles count="0" defaultTableStyle="TableStyleMedium2" defaultPivotStyle="PivotStyleLight16"/>
  <colors>
    <mruColors>
      <color rgb="FF84E291"/>
      <color rgb="FF006633"/>
      <color rgb="FF4EB086"/>
      <color rgb="FFC2E4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22397179258340674"/>
          <c:y val="7.5929932706708003E-2"/>
          <c:w val="0.53295752750147929"/>
          <c:h val="0.85521250142004213"/>
        </c:manualLayout>
      </c:layout>
      <c:radarChart>
        <c:radarStyle val="marker"/>
        <c:varyColors val="0"/>
        <c:ser>
          <c:idx val="0"/>
          <c:order val="0"/>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Report!$B$7:$B$30</c15:sqref>
                  </c15:fullRef>
                </c:ext>
              </c:extLst>
              <c:f>(Report!$B$8:$B$14,Report!$B$16:$B$22,Report!$B$24:$B$29)</c:f>
              <c:strCache>
                <c:ptCount val="20"/>
                <c:pt idx="0">
                  <c:v>Strategic Alignment</c:v>
                </c:pt>
                <c:pt idx="1">
                  <c:v>Integrated Planning</c:v>
                </c:pt>
                <c:pt idx="2">
                  <c:v>Reporting and Transparency</c:v>
                </c:pt>
                <c:pt idx="3">
                  <c:v>Procurement</c:v>
                </c:pt>
                <c:pt idx="4">
                  <c:v>Fraud and Corruption</c:v>
                </c:pt>
                <c:pt idx="5">
                  <c:v>Data Privacy</c:v>
                </c:pt>
                <c:pt idx="6">
                  <c:v>Modern Slavery</c:v>
                </c:pt>
                <c:pt idx="7">
                  <c:v>Labour Practices</c:v>
                </c:pt>
                <c:pt idx="8">
                  <c:v>Employee Representation</c:v>
                </c:pt>
                <c:pt idx="9">
                  <c:v>Training and Development</c:v>
                </c:pt>
                <c:pt idx="10">
                  <c:v>Fair Compensation</c:v>
                </c:pt>
                <c:pt idx="11">
                  <c:v>Health and Wellbeing</c:v>
                </c:pt>
                <c:pt idx="12">
                  <c:v>Diversity and Equality</c:v>
                </c:pt>
                <c:pt idx="13">
                  <c:v>Local Communities</c:v>
                </c:pt>
                <c:pt idx="14">
                  <c:v>Energy</c:v>
                </c:pt>
                <c:pt idx="15">
                  <c:v>Emissions</c:v>
                </c:pt>
                <c:pt idx="16">
                  <c:v>Water and Effluents</c:v>
                </c:pt>
                <c:pt idx="17">
                  <c:v>Waste</c:v>
                </c:pt>
                <c:pt idx="18">
                  <c:v>Materials</c:v>
                </c:pt>
                <c:pt idx="19">
                  <c:v>Biodiversity</c:v>
                </c:pt>
              </c:strCache>
            </c:strRef>
          </c:cat>
          <c:val>
            <c:numRef>
              <c:extLst>
                <c:ext xmlns:c15="http://schemas.microsoft.com/office/drawing/2012/chart" uri="{02D57815-91ED-43cb-92C2-25804820EDAC}">
                  <c15:fullRef>
                    <c15:sqref>Report!$C$7:$C$30</c15:sqref>
                  </c15:fullRef>
                </c:ext>
              </c:extLst>
              <c:f>(Report!$C$8:$C$14,Report!$C$16:$C$22,Report!$C$24:$C$29)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016-476A-B770-45F690B5C14D}"/>
            </c:ext>
          </c:extLst>
        </c:ser>
        <c:dLbls>
          <c:showLegendKey val="0"/>
          <c:showVal val="0"/>
          <c:showCatName val="0"/>
          <c:showSerName val="0"/>
          <c:showPercent val="0"/>
          <c:showBubbleSize val="0"/>
        </c:dLbls>
        <c:axId val="1412377263"/>
        <c:axId val="1423981903"/>
      </c:radarChart>
      <c:catAx>
        <c:axId val="141237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23981903"/>
        <c:crosses val="autoZero"/>
        <c:auto val="1"/>
        <c:lblAlgn val="ctr"/>
        <c:lblOffset val="100"/>
        <c:noMultiLvlLbl val="0"/>
      </c:catAx>
      <c:valAx>
        <c:axId val="142398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12377263"/>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6633"/>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548640</xdr:colOff>
      <xdr:row>1</xdr:row>
      <xdr:rowOff>807720</xdr:rowOff>
    </xdr:from>
    <xdr:to>
      <xdr:col>12</xdr:col>
      <xdr:colOff>182880</xdr:colOff>
      <xdr:row>1</xdr:row>
      <xdr:rowOff>1706420</xdr:rowOff>
    </xdr:to>
    <xdr:pic>
      <xdr:nvPicPr>
        <xdr:cNvPr id="2" name="Picture 1" descr="A white letter on a black background&#10;&#10;Description automatically generated">
          <a:extLst>
            <a:ext uri="{FF2B5EF4-FFF2-40B4-BE49-F238E27FC236}">
              <a16:creationId xmlns:a16="http://schemas.microsoft.com/office/drawing/2014/main" id="{2F98201E-C110-4E14-AA3E-0214286E2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13120" y="1203960"/>
          <a:ext cx="2316480" cy="898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160020</xdr:colOff>
      <xdr:row>1</xdr:row>
      <xdr:rowOff>144780</xdr:rowOff>
    </xdr:from>
    <xdr:to>
      <xdr:col>1</xdr:col>
      <xdr:colOff>1312625</xdr:colOff>
      <xdr:row>1</xdr:row>
      <xdr:rowOff>591829</xdr:rowOff>
    </xdr:to>
    <xdr:pic>
      <xdr:nvPicPr>
        <xdr:cNvPr id="3" name="Picture 2" descr="A white letter on a black background&#10;&#10;Description automatically generated">
          <a:extLst>
            <a:ext uri="{FF2B5EF4-FFF2-40B4-BE49-F238E27FC236}">
              <a16:creationId xmlns:a16="http://schemas.microsoft.com/office/drawing/2014/main" id="{90899FA5-9F18-464E-9207-2786CDA48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 y="373380"/>
          <a:ext cx="1162130" cy="4508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137160</xdr:colOff>
      <xdr:row>1</xdr:row>
      <xdr:rowOff>121920</xdr:rowOff>
    </xdr:from>
    <xdr:to>
      <xdr:col>1</xdr:col>
      <xdr:colOff>1313617</xdr:colOff>
      <xdr:row>1</xdr:row>
      <xdr:rowOff>588289</xdr:rowOff>
    </xdr:to>
    <xdr:pic>
      <xdr:nvPicPr>
        <xdr:cNvPr id="2" name="Picture 1" descr="A white letter on a black background&#10;&#10;Description automatically generated">
          <a:extLst>
            <a:ext uri="{FF2B5EF4-FFF2-40B4-BE49-F238E27FC236}">
              <a16:creationId xmlns:a16="http://schemas.microsoft.com/office/drawing/2014/main" id="{E6FD58C0-F243-4230-AFB6-0E52AFD29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596" y="371035"/>
          <a:ext cx="1176457" cy="466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224790</xdr:colOff>
      <xdr:row>3</xdr:row>
      <xdr:rowOff>194930</xdr:rowOff>
    </xdr:from>
    <xdr:to>
      <xdr:col>16</xdr:col>
      <xdr:colOff>0</xdr:colOff>
      <xdr:row>29</xdr:row>
      <xdr:rowOff>194930</xdr:rowOff>
    </xdr:to>
    <xdr:graphicFrame macro="">
      <xdr:nvGraphicFramePr>
        <xdr:cNvPr id="3" name="Chart 2">
          <a:extLst>
            <a:ext uri="{FF2B5EF4-FFF2-40B4-BE49-F238E27FC236}">
              <a16:creationId xmlns:a16="http://schemas.microsoft.com/office/drawing/2014/main" id="{002B03A4-3946-4730-9F21-FFE7E0B08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141768</xdr:colOff>
      <xdr:row>1</xdr:row>
      <xdr:rowOff>124047</xdr:rowOff>
    </xdr:from>
    <xdr:to>
      <xdr:col>1</xdr:col>
      <xdr:colOff>1314415</xdr:colOff>
      <xdr:row>1</xdr:row>
      <xdr:rowOff>578986</xdr:rowOff>
    </xdr:to>
    <xdr:pic>
      <xdr:nvPicPr>
        <xdr:cNvPr id="7" name="Picture 6" descr="A white letter on a black background&#10;&#10;Description automatically generated">
          <a:extLst>
            <a:ext uri="{FF2B5EF4-FFF2-40B4-BE49-F238E27FC236}">
              <a16:creationId xmlns:a16="http://schemas.microsoft.com/office/drawing/2014/main" id="{9E3C8FF3-11BB-48C8-A049-6DF94FED43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1373" y="336698"/>
          <a:ext cx="1172647" cy="45493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D89D-93B2-48B7-A5BF-A6F011F4C302}">
  <dimension ref="B1:T6"/>
  <sheetViews>
    <sheetView showGridLines="0" zoomScale="97" workbookViewId="0">
      <selection activeCell="B5" sqref="B5"/>
    </sheetView>
  </sheetViews>
  <sheetFormatPr defaultRowHeight="15.6" x14ac:dyDescent="0.3"/>
  <sheetData>
    <row r="1" spans="2:20" ht="31.2" customHeight="1" x14ac:dyDescent="0.3"/>
    <row r="2" spans="2:20" ht="187.2" customHeight="1" x14ac:dyDescent="0.3">
      <c r="B2" s="36"/>
      <c r="C2" s="36"/>
      <c r="D2" s="36"/>
      <c r="E2" s="36"/>
      <c r="F2" s="36"/>
      <c r="G2" s="36"/>
      <c r="H2" s="36"/>
      <c r="I2" s="36"/>
      <c r="J2" s="36"/>
      <c r="K2" s="36"/>
      <c r="L2" s="36"/>
      <c r="M2" s="36"/>
      <c r="N2" s="36"/>
      <c r="O2" s="36"/>
      <c r="P2" s="36"/>
      <c r="Q2" s="36"/>
      <c r="R2" s="36"/>
      <c r="S2" s="36"/>
      <c r="T2" s="36"/>
    </row>
    <row r="3" spans="2:20" s="8" customFormat="1" ht="60" customHeight="1" x14ac:dyDescent="0.3">
      <c r="B3" s="39"/>
      <c r="C3" s="55" t="s">
        <v>96</v>
      </c>
      <c r="D3" s="55"/>
      <c r="E3" s="55"/>
      <c r="F3" s="55"/>
      <c r="G3" s="55"/>
      <c r="H3" s="55"/>
      <c r="I3" s="55"/>
      <c r="J3" s="55"/>
      <c r="K3" s="55"/>
      <c r="L3" s="55"/>
      <c r="M3" s="55"/>
      <c r="N3" s="55"/>
      <c r="O3" s="55"/>
      <c r="P3" s="55"/>
      <c r="Q3" s="55"/>
      <c r="R3" s="55"/>
      <c r="S3" s="55"/>
      <c r="T3" s="39"/>
    </row>
    <row r="4" spans="2:20" ht="45" customHeight="1" x14ac:dyDescent="0.3">
      <c r="B4" s="57" t="s">
        <v>103</v>
      </c>
      <c r="C4" s="57"/>
      <c r="D4" s="57"/>
      <c r="E4" s="57"/>
      <c r="F4" s="57"/>
      <c r="G4" s="57"/>
      <c r="H4" s="57"/>
      <c r="I4" s="57"/>
      <c r="J4" s="57"/>
      <c r="K4" s="57"/>
      <c r="L4" s="57"/>
      <c r="M4" s="57"/>
      <c r="N4" s="57"/>
      <c r="O4" s="57"/>
      <c r="P4" s="57"/>
      <c r="Q4" s="57"/>
      <c r="R4" s="57"/>
      <c r="S4" s="57"/>
      <c r="T4" s="57"/>
    </row>
    <row r="5" spans="2:20" ht="67.8" customHeight="1" x14ac:dyDescent="0.3">
      <c r="B5" s="38"/>
      <c r="C5" s="38"/>
      <c r="D5" s="38"/>
      <c r="E5" s="38"/>
      <c r="F5" s="38"/>
      <c r="G5" s="38"/>
      <c r="H5" s="38"/>
      <c r="I5" s="38"/>
      <c r="J5" s="38"/>
      <c r="K5" s="38"/>
      <c r="L5" s="38"/>
      <c r="M5" s="38"/>
      <c r="N5" s="38"/>
      <c r="O5" s="38"/>
      <c r="P5" s="38"/>
      <c r="Q5" s="38"/>
      <c r="R5" s="38"/>
      <c r="S5" s="38"/>
      <c r="T5" s="38"/>
    </row>
    <row r="6" spans="2:20" ht="43.8" customHeight="1" x14ac:dyDescent="0.3">
      <c r="B6" s="56" t="s">
        <v>81</v>
      </c>
      <c r="C6" s="56"/>
      <c r="D6" s="56"/>
      <c r="E6" s="56"/>
      <c r="F6" s="56"/>
      <c r="G6" s="56"/>
      <c r="H6" s="56"/>
      <c r="I6" s="56"/>
      <c r="J6" s="56"/>
      <c r="K6" s="56"/>
      <c r="L6" s="56"/>
      <c r="M6" s="56"/>
      <c r="N6" s="56"/>
      <c r="O6" s="56"/>
      <c r="P6" s="56"/>
      <c r="Q6" s="56"/>
      <c r="R6" s="56"/>
      <c r="S6" s="56"/>
      <c r="T6" s="56"/>
    </row>
  </sheetData>
  <sheetProtection algorithmName="SHA-512" hashValue="D1OfMZLEOohRUEqfJv+DWze+B1fN+pmz1ETJe2BfczwhyJBWNUgl6xi4PvjrvTvFIC1U21W4XLhsi6Ab6PvY8Q==" saltValue="o9ETWR8Z5cERgU7fiXGf+w==" spinCount="100000" sheet="1" selectLockedCells="1" selectUnlockedCells="1"/>
  <mergeCells count="3">
    <mergeCell ref="C3:S3"/>
    <mergeCell ref="B6:T6"/>
    <mergeCell ref="B4:T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7A774-24E5-4D5A-AF65-D463208DEBA1}">
  <dimension ref="A2:B8"/>
  <sheetViews>
    <sheetView showGridLines="0" workbookViewId="0">
      <selection activeCell="B4" sqref="B4"/>
    </sheetView>
  </sheetViews>
  <sheetFormatPr defaultColWidth="8.69921875" defaultRowHeight="18" customHeight="1" x14ac:dyDescent="0.3"/>
  <cols>
    <col min="1" max="1" width="7.59765625" style="6" customWidth="1"/>
    <col min="2" max="2" width="168.59765625" style="5" customWidth="1"/>
    <col min="3" max="3" width="5.8984375" style="5" customWidth="1"/>
    <col min="4" max="16384" width="8.69921875" style="5"/>
  </cols>
  <sheetData>
    <row r="2" spans="1:2" ht="55.2" customHeight="1" x14ac:dyDescent="0.3">
      <c r="B2" s="40" t="s">
        <v>96</v>
      </c>
    </row>
    <row r="3" spans="1:2" ht="46.95" customHeight="1" x14ac:dyDescent="0.3">
      <c r="B3" s="35" t="s">
        <v>80</v>
      </c>
    </row>
    <row r="4" spans="1:2" ht="80.400000000000006" customHeight="1" x14ac:dyDescent="0.3">
      <c r="B4" s="37" t="s">
        <v>97</v>
      </c>
    </row>
    <row r="5" spans="1:2" ht="174.6" customHeight="1" x14ac:dyDescent="0.3">
      <c r="B5" s="34" t="s">
        <v>101</v>
      </c>
    </row>
    <row r="6" spans="1:2" ht="91.2" customHeight="1" x14ac:dyDescent="0.3">
      <c r="B6" s="8" t="s">
        <v>99</v>
      </c>
    </row>
    <row r="7" spans="1:2" ht="18" customHeight="1" x14ac:dyDescent="0.3">
      <c r="A7" s="34"/>
      <c r="B7" s="8"/>
    </row>
    <row r="8" spans="1:2" ht="18" customHeight="1" x14ac:dyDescent="0.3">
      <c r="B8" s="34" t="s">
        <v>98</v>
      </c>
    </row>
  </sheetData>
  <sheetProtection algorithmName="SHA-512" hashValue="zbQtx9VKcxU97BLJVaYDgXn0Wyz3RZQdF00e78sDmDdNoRVvGWOrzm7bbRNBiAiASpb8EtCFmdKmagQg+tkDPw==" saltValue="ff2UPjpqLR9yYkN8rfOERA==" spinCount="100000" sheet="1" objects="1" scenarios="1" selectLockedCell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C928-3CD6-4753-B93C-E78F604237CC}">
  <dimension ref="B2:K40"/>
  <sheetViews>
    <sheetView showGridLines="0" zoomScale="56" zoomScaleNormal="100" workbookViewId="0">
      <selection activeCell="B5" sqref="B5:B20"/>
    </sheetView>
  </sheetViews>
  <sheetFormatPr defaultColWidth="8.69921875" defaultRowHeight="21" customHeight="1" x14ac:dyDescent="0.3"/>
  <cols>
    <col min="1" max="1" width="2.59765625" style="2" customWidth="1"/>
    <col min="2" max="2" width="62.69921875" style="2" customWidth="1"/>
    <col min="3" max="3" width="22.19921875" style="2" customWidth="1"/>
    <col min="4" max="7" width="22.19921875" style="19" customWidth="1"/>
    <col min="8" max="16384" width="8.69921875" style="2"/>
  </cols>
  <sheetData>
    <row r="2" spans="2:11" ht="21" customHeight="1" x14ac:dyDescent="0.3">
      <c r="B2" s="58" t="s">
        <v>20</v>
      </c>
      <c r="C2" s="59"/>
      <c r="D2" s="59"/>
      <c r="E2" s="59"/>
      <c r="F2" s="59"/>
      <c r="G2" s="59"/>
    </row>
    <row r="4" spans="2:11" ht="22.2" customHeight="1" x14ac:dyDescent="0.3">
      <c r="B4" s="11" t="s">
        <v>9</v>
      </c>
      <c r="C4" s="12" t="s">
        <v>58</v>
      </c>
      <c r="D4" s="12" t="s">
        <v>59</v>
      </c>
      <c r="E4" s="4" t="s">
        <v>0</v>
      </c>
      <c r="F4" s="12" t="s">
        <v>66</v>
      </c>
      <c r="G4" s="12" t="s">
        <v>67</v>
      </c>
    </row>
    <row r="5" spans="2:11" ht="21" customHeight="1" x14ac:dyDescent="0.3">
      <c r="B5" s="13" t="s">
        <v>16</v>
      </c>
      <c r="C5" s="16" t="e">
        <f>#REF!</f>
        <v>#REF!</v>
      </c>
      <c r="D5" s="16" t="e">
        <f>#REF!</f>
        <v>#REF!</v>
      </c>
      <c r="E5" s="10" t="e">
        <f>C5+D5</f>
        <v>#REF!</v>
      </c>
      <c r="F5" s="17" t="e">
        <f t="shared" ref="F5:F20" si="0">RANK(E5,$E$5:$E$20,0)</f>
        <v>#REF!</v>
      </c>
      <c r="G5" s="18" t="e">
        <f t="shared" ref="G5:G20" si="1">10-((F5-MIN($F$5:$F$20))/(MAX($F$5:$F$20)-MIN($F$5:$F$20)))*9</f>
        <v>#REF!</v>
      </c>
    </row>
    <row r="6" spans="2:11" ht="21" customHeight="1" x14ac:dyDescent="0.3">
      <c r="B6" s="13" t="s">
        <v>15</v>
      </c>
      <c r="C6" s="16" t="e">
        <f>#REF!</f>
        <v>#REF!</v>
      </c>
      <c r="D6" s="16" t="e">
        <f>#REF!</f>
        <v>#REF!</v>
      </c>
      <c r="E6" s="10" t="e">
        <f t="shared" ref="E6:E20" si="2">C6+D6</f>
        <v>#REF!</v>
      </c>
      <c r="F6" s="17" t="e">
        <f t="shared" si="0"/>
        <v>#REF!</v>
      </c>
      <c r="G6" s="18" t="e">
        <f t="shared" si="1"/>
        <v>#REF!</v>
      </c>
    </row>
    <row r="7" spans="2:11" ht="21" customHeight="1" x14ac:dyDescent="0.3">
      <c r="B7" s="13" t="s">
        <v>17</v>
      </c>
      <c r="C7" s="16" t="e">
        <f>#REF!</f>
        <v>#REF!</v>
      </c>
      <c r="D7" s="16" t="e">
        <f>#REF!</f>
        <v>#REF!</v>
      </c>
      <c r="E7" s="10" t="e">
        <f t="shared" si="2"/>
        <v>#REF!</v>
      </c>
      <c r="F7" s="17" t="e">
        <f t="shared" si="0"/>
        <v>#REF!</v>
      </c>
      <c r="G7" s="18" t="e">
        <f t="shared" si="1"/>
        <v>#REF!</v>
      </c>
    </row>
    <row r="8" spans="2:11" ht="21" customHeight="1" x14ac:dyDescent="0.3">
      <c r="B8" s="13" t="s">
        <v>18</v>
      </c>
      <c r="C8" s="16" t="e">
        <f>#REF!</f>
        <v>#REF!</v>
      </c>
      <c r="D8" s="16" t="e">
        <f>#REF!</f>
        <v>#REF!</v>
      </c>
      <c r="E8" s="10" t="e">
        <f t="shared" si="2"/>
        <v>#REF!</v>
      </c>
      <c r="F8" s="17" t="e">
        <f t="shared" si="0"/>
        <v>#REF!</v>
      </c>
      <c r="G8" s="18" t="e">
        <f t="shared" si="1"/>
        <v>#REF!</v>
      </c>
    </row>
    <row r="9" spans="2:11" ht="21" customHeight="1" x14ac:dyDescent="0.3">
      <c r="B9" s="13" t="s">
        <v>19</v>
      </c>
      <c r="C9" s="16" t="e">
        <f>#REF!</f>
        <v>#REF!</v>
      </c>
      <c r="D9" s="16" t="e">
        <f>#REF!</f>
        <v>#REF!</v>
      </c>
      <c r="E9" s="10" t="e">
        <f t="shared" si="2"/>
        <v>#REF!</v>
      </c>
      <c r="F9" s="17" t="e">
        <f t="shared" si="0"/>
        <v>#REF!</v>
      </c>
      <c r="G9" s="18" t="e">
        <f t="shared" si="1"/>
        <v>#REF!</v>
      </c>
      <c r="K9" s="2" t="s">
        <v>65</v>
      </c>
    </row>
    <row r="10" spans="2:11" ht="21" customHeight="1" x14ac:dyDescent="0.3">
      <c r="B10" s="13" t="s">
        <v>6</v>
      </c>
      <c r="C10" s="16" t="e">
        <f>#REF!</f>
        <v>#REF!</v>
      </c>
      <c r="D10" s="16" t="e">
        <f>#REF!</f>
        <v>#REF!</v>
      </c>
      <c r="E10" s="10" t="e">
        <f t="shared" si="2"/>
        <v>#REF!</v>
      </c>
      <c r="F10" s="17" t="e">
        <f t="shared" si="0"/>
        <v>#REF!</v>
      </c>
      <c r="G10" s="18" t="e">
        <f t="shared" si="1"/>
        <v>#REF!</v>
      </c>
    </row>
    <row r="11" spans="2:11" ht="21" customHeight="1" x14ac:dyDescent="0.3">
      <c r="B11" s="13" t="s">
        <v>24</v>
      </c>
      <c r="C11" s="16" t="e">
        <f>#REF!</f>
        <v>#REF!</v>
      </c>
      <c r="D11" s="16" t="e">
        <f>#REF!</f>
        <v>#REF!</v>
      </c>
      <c r="E11" s="10" t="e">
        <f t="shared" si="2"/>
        <v>#REF!</v>
      </c>
      <c r="F11" s="17" t="e">
        <f t="shared" si="0"/>
        <v>#REF!</v>
      </c>
      <c r="G11" s="18" t="e">
        <f t="shared" si="1"/>
        <v>#REF!</v>
      </c>
    </row>
    <row r="12" spans="2:11" ht="21" customHeight="1" x14ac:dyDescent="0.3">
      <c r="B12" s="13" t="s">
        <v>8</v>
      </c>
      <c r="C12" s="16" t="e">
        <f>#REF!</f>
        <v>#REF!</v>
      </c>
      <c r="D12" s="16" t="e">
        <f>#REF!</f>
        <v>#REF!</v>
      </c>
      <c r="E12" s="10" t="e">
        <f t="shared" si="2"/>
        <v>#REF!</v>
      </c>
      <c r="F12" s="17" t="e">
        <f t="shared" si="0"/>
        <v>#REF!</v>
      </c>
      <c r="G12" s="18" t="e">
        <f t="shared" si="1"/>
        <v>#REF!</v>
      </c>
    </row>
    <row r="13" spans="2:11" ht="21" customHeight="1" x14ac:dyDescent="0.3">
      <c r="B13" s="13" t="s">
        <v>57</v>
      </c>
      <c r="C13" s="16" t="e">
        <f>#REF!</f>
        <v>#REF!</v>
      </c>
      <c r="D13" s="16" t="e">
        <f>#REF!</f>
        <v>#REF!</v>
      </c>
      <c r="E13" s="10" t="e">
        <f t="shared" si="2"/>
        <v>#REF!</v>
      </c>
      <c r="F13" s="17" t="e">
        <f t="shared" si="0"/>
        <v>#REF!</v>
      </c>
      <c r="G13" s="18" t="e">
        <f t="shared" si="1"/>
        <v>#REF!</v>
      </c>
    </row>
    <row r="14" spans="2:11" ht="21" customHeight="1" x14ac:dyDescent="0.3">
      <c r="B14" s="13" t="s">
        <v>56</v>
      </c>
      <c r="C14" s="16" t="e">
        <f>#REF!</f>
        <v>#REF!</v>
      </c>
      <c r="D14" s="16" t="e">
        <f>#REF!</f>
        <v>#REF!</v>
      </c>
      <c r="E14" s="10" t="e">
        <f t="shared" si="2"/>
        <v>#REF!</v>
      </c>
      <c r="F14" s="17" t="e">
        <f t="shared" si="0"/>
        <v>#REF!</v>
      </c>
      <c r="G14" s="18" t="e">
        <f t="shared" si="1"/>
        <v>#REF!</v>
      </c>
    </row>
    <row r="15" spans="2:11" ht="21" customHeight="1" x14ac:dyDescent="0.3">
      <c r="B15" s="13" t="s">
        <v>2</v>
      </c>
      <c r="C15" s="16" t="e">
        <f>#REF!</f>
        <v>#REF!</v>
      </c>
      <c r="D15" s="16" t="e">
        <f>#REF!</f>
        <v>#REF!</v>
      </c>
      <c r="E15" s="10" t="e">
        <f t="shared" si="2"/>
        <v>#REF!</v>
      </c>
      <c r="F15" s="17" t="e">
        <f t="shared" si="0"/>
        <v>#REF!</v>
      </c>
      <c r="G15" s="18" t="e">
        <f t="shared" si="1"/>
        <v>#REF!</v>
      </c>
    </row>
    <row r="16" spans="2:11" ht="21" customHeight="1" x14ac:dyDescent="0.3">
      <c r="B16" s="13" t="s">
        <v>3</v>
      </c>
      <c r="C16" s="16" t="e">
        <f>#REF!</f>
        <v>#REF!</v>
      </c>
      <c r="D16" s="16" t="e">
        <f>#REF!</f>
        <v>#REF!</v>
      </c>
      <c r="E16" s="10" t="e">
        <f t="shared" si="2"/>
        <v>#REF!</v>
      </c>
      <c r="F16" s="17" t="e">
        <f t="shared" si="0"/>
        <v>#REF!</v>
      </c>
      <c r="G16" s="18" t="e">
        <f t="shared" si="1"/>
        <v>#REF!</v>
      </c>
    </row>
    <row r="17" spans="2:7" ht="21" customHeight="1" x14ac:dyDescent="0.3">
      <c r="B17" s="13" t="s">
        <v>7</v>
      </c>
      <c r="C17" s="16" t="e">
        <f>#REF!</f>
        <v>#REF!</v>
      </c>
      <c r="D17" s="16" t="e">
        <f>#REF!</f>
        <v>#REF!</v>
      </c>
      <c r="E17" s="10" t="e">
        <f t="shared" si="2"/>
        <v>#REF!</v>
      </c>
      <c r="F17" s="17" t="e">
        <f t="shared" si="0"/>
        <v>#REF!</v>
      </c>
      <c r="G17" s="18" t="e">
        <f t="shared" si="1"/>
        <v>#REF!</v>
      </c>
    </row>
    <row r="18" spans="2:7" ht="21" customHeight="1" x14ac:dyDescent="0.3">
      <c r="B18" s="13" t="s">
        <v>1</v>
      </c>
      <c r="C18" s="16" t="e">
        <f>#REF!</f>
        <v>#REF!</v>
      </c>
      <c r="D18" s="16" t="e">
        <f>#REF!</f>
        <v>#REF!</v>
      </c>
      <c r="E18" s="10" t="e">
        <f t="shared" si="2"/>
        <v>#REF!</v>
      </c>
      <c r="F18" s="17" t="e">
        <f t="shared" si="0"/>
        <v>#REF!</v>
      </c>
      <c r="G18" s="18" t="e">
        <f t="shared" si="1"/>
        <v>#REF!</v>
      </c>
    </row>
    <row r="19" spans="2:7" ht="21" customHeight="1" x14ac:dyDescent="0.3">
      <c r="B19" s="13" t="s">
        <v>5</v>
      </c>
      <c r="C19" s="16" t="e">
        <f>#REF!</f>
        <v>#REF!</v>
      </c>
      <c r="D19" s="16" t="e">
        <f>#REF!</f>
        <v>#REF!</v>
      </c>
      <c r="E19" s="10" t="e">
        <f t="shared" si="2"/>
        <v>#REF!</v>
      </c>
      <c r="F19" s="17" t="e">
        <f t="shared" si="0"/>
        <v>#REF!</v>
      </c>
      <c r="G19" s="18" t="e">
        <f t="shared" si="1"/>
        <v>#REF!</v>
      </c>
    </row>
    <row r="20" spans="2:7" ht="21" customHeight="1" x14ac:dyDescent="0.3">
      <c r="B20" s="13" t="s">
        <v>4</v>
      </c>
      <c r="C20" s="16" t="e">
        <f>#REF!</f>
        <v>#REF!</v>
      </c>
      <c r="D20" s="16" t="e">
        <f>#REF!</f>
        <v>#REF!</v>
      </c>
      <c r="E20" s="10" t="e">
        <f t="shared" si="2"/>
        <v>#REF!</v>
      </c>
      <c r="F20" s="17" t="e">
        <f t="shared" si="0"/>
        <v>#REF!</v>
      </c>
      <c r="G20" s="18" t="e">
        <f t="shared" si="1"/>
        <v>#REF!</v>
      </c>
    </row>
    <row r="22" spans="2:7" ht="21" customHeight="1" x14ac:dyDescent="0.3">
      <c r="B22" s="58" t="s">
        <v>21</v>
      </c>
      <c r="C22" s="59"/>
      <c r="D22" s="59"/>
      <c r="E22" s="59"/>
      <c r="F22" s="59"/>
      <c r="G22" s="59"/>
    </row>
    <row r="24" spans="2:7" ht="21" customHeight="1" x14ac:dyDescent="0.3">
      <c r="B24" s="11" t="s">
        <v>9</v>
      </c>
      <c r="C24" s="12" t="s">
        <v>73</v>
      </c>
      <c r="D24" s="12" t="s">
        <v>74</v>
      </c>
      <c r="E24" s="4" t="s">
        <v>0</v>
      </c>
      <c r="F24" s="12" t="s">
        <v>66</v>
      </c>
      <c r="G24" s="12" t="s">
        <v>67</v>
      </c>
    </row>
    <row r="25" spans="2:7" ht="21" customHeight="1" x14ac:dyDescent="0.3">
      <c r="B25" s="13" t="s">
        <v>16</v>
      </c>
      <c r="C25" s="14" t="e">
        <f>#REF!</f>
        <v>#REF!</v>
      </c>
      <c r="D25" s="15" t="e">
        <f>#REF!</f>
        <v>#REF!</v>
      </c>
      <c r="E25" s="10" t="e">
        <f t="shared" ref="E25:E40" si="3">C25+D25</f>
        <v>#REF!</v>
      </c>
      <c r="F25" s="17" t="e">
        <f t="shared" ref="F25:F40" si="4">RANK(E25,$E$25:$E$40,0)</f>
        <v>#REF!</v>
      </c>
      <c r="G25" s="18" t="e">
        <f t="shared" ref="G25:G40" si="5">10-((F25-MIN($F$25:$F$40))/(MAX($F$25:$F$40)-MIN($F$25:$F$40)))*9</f>
        <v>#REF!</v>
      </c>
    </row>
    <row r="26" spans="2:7" ht="21" customHeight="1" x14ac:dyDescent="0.3">
      <c r="B26" s="13" t="s">
        <v>15</v>
      </c>
      <c r="C26" s="14" t="e">
        <f>#REF!</f>
        <v>#REF!</v>
      </c>
      <c r="D26" s="15" t="e">
        <f>#REF!</f>
        <v>#REF!</v>
      </c>
      <c r="E26" s="10" t="e">
        <f t="shared" si="3"/>
        <v>#REF!</v>
      </c>
      <c r="F26" s="17" t="e">
        <f t="shared" si="4"/>
        <v>#REF!</v>
      </c>
      <c r="G26" s="18" t="e">
        <f t="shared" si="5"/>
        <v>#REF!</v>
      </c>
    </row>
    <row r="27" spans="2:7" ht="21" customHeight="1" x14ac:dyDescent="0.3">
      <c r="B27" s="13" t="s">
        <v>17</v>
      </c>
      <c r="C27" s="14" t="e">
        <f>#REF!</f>
        <v>#REF!</v>
      </c>
      <c r="D27" s="15" t="e">
        <f>#REF!</f>
        <v>#REF!</v>
      </c>
      <c r="E27" s="10" t="e">
        <f t="shared" si="3"/>
        <v>#REF!</v>
      </c>
      <c r="F27" s="17" t="e">
        <f t="shared" si="4"/>
        <v>#REF!</v>
      </c>
      <c r="G27" s="18" t="e">
        <f t="shared" si="5"/>
        <v>#REF!</v>
      </c>
    </row>
    <row r="28" spans="2:7" ht="21" customHeight="1" x14ac:dyDescent="0.3">
      <c r="B28" s="13" t="s">
        <v>18</v>
      </c>
      <c r="C28" s="14" t="e">
        <f>#REF!</f>
        <v>#REF!</v>
      </c>
      <c r="D28" s="15" t="e">
        <f>#REF!</f>
        <v>#REF!</v>
      </c>
      <c r="E28" s="10" t="e">
        <f t="shared" si="3"/>
        <v>#REF!</v>
      </c>
      <c r="F28" s="17" t="e">
        <f t="shared" si="4"/>
        <v>#REF!</v>
      </c>
      <c r="G28" s="18" t="e">
        <f t="shared" si="5"/>
        <v>#REF!</v>
      </c>
    </row>
    <row r="29" spans="2:7" ht="21" customHeight="1" x14ac:dyDescent="0.3">
      <c r="B29" s="13" t="s">
        <v>19</v>
      </c>
      <c r="C29" s="14" t="e">
        <f>#REF!</f>
        <v>#REF!</v>
      </c>
      <c r="D29" s="15" t="e">
        <f>#REF!</f>
        <v>#REF!</v>
      </c>
      <c r="E29" s="10" t="e">
        <f t="shared" si="3"/>
        <v>#REF!</v>
      </c>
      <c r="F29" s="17" t="e">
        <f t="shared" si="4"/>
        <v>#REF!</v>
      </c>
      <c r="G29" s="18" t="e">
        <f t="shared" si="5"/>
        <v>#REF!</v>
      </c>
    </row>
    <row r="30" spans="2:7" ht="21" customHeight="1" x14ac:dyDescent="0.3">
      <c r="B30" s="13" t="s">
        <v>6</v>
      </c>
      <c r="C30" s="14" t="e">
        <f>#REF!</f>
        <v>#REF!</v>
      </c>
      <c r="D30" s="15" t="e">
        <f>#REF!</f>
        <v>#REF!</v>
      </c>
      <c r="E30" s="10" t="e">
        <f t="shared" si="3"/>
        <v>#REF!</v>
      </c>
      <c r="F30" s="17" t="e">
        <f t="shared" si="4"/>
        <v>#REF!</v>
      </c>
      <c r="G30" s="18" t="e">
        <f>10-((F30-MIN($F$25:$F$40))/(MAX($F$25:$F$40)-MIN($F$25:$F$40)))*9</f>
        <v>#REF!</v>
      </c>
    </row>
    <row r="31" spans="2:7" ht="21" customHeight="1" x14ac:dyDescent="0.3">
      <c r="B31" s="13" t="s">
        <v>24</v>
      </c>
      <c r="C31" s="14" t="e">
        <f>#REF!</f>
        <v>#REF!</v>
      </c>
      <c r="D31" s="15" t="e">
        <f>#REF!</f>
        <v>#REF!</v>
      </c>
      <c r="E31" s="10" t="e">
        <f t="shared" si="3"/>
        <v>#REF!</v>
      </c>
      <c r="F31" s="17" t="e">
        <f t="shared" si="4"/>
        <v>#REF!</v>
      </c>
      <c r="G31" s="18" t="e">
        <f t="shared" si="5"/>
        <v>#REF!</v>
      </c>
    </row>
    <row r="32" spans="2:7" ht="21" customHeight="1" x14ac:dyDescent="0.3">
      <c r="B32" s="13" t="s">
        <v>8</v>
      </c>
      <c r="C32" s="14" t="e">
        <f>#REF!</f>
        <v>#REF!</v>
      </c>
      <c r="D32" s="15" t="e">
        <f>#REF!</f>
        <v>#REF!</v>
      </c>
      <c r="E32" s="10" t="e">
        <f t="shared" si="3"/>
        <v>#REF!</v>
      </c>
      <c r="F32" s="17" t="e">
        <f t="shared" si="4"/>
        <v>#REF!</v>
      </c>
      <c r="G32" s="18" t="e">
        <f t="shared" si="5"/>
        <v>#REF!</v>
      </c>
    </row>
    <row r="33" spans="2:7" ht="21" customHeight="1" x14ac:dyDescent="0.3">
      <c r="B33" s="13" t="s">
        <v>57</v>
      </c>
      <c r="C33" s="14" t="e">
        <f>#REF!</f>
        <v>#REF!</v>
      </c>
      <c r="D33" s="15" t="e">
        <f>#REF!</f>
        <v>#REF!</v>
      </c>
      <c r="E33" s="10" t="e">
        <f t="shared" si="3"/>
        <v>#REF!</v>
      </c>
      <c r="F33" s="17" t="e">
        <f t="shared" si="4"/>
        <v>#REF!</v>
      </c>
      <c r="G33" s="18" t="e">
        <f t="shared" si="5"/>
        <v>#REF!</v>
      </c>
    </row>
    <row r="34" spans="2:7" ht="21" customHeight="1" x14ac:dyDescent="0.3">
      <c r="B34" s="13" t="s">
        <v>56</v>
      </c>
      <c r="C34" s="14" t="e">
        <f>#REF!</f>
        <v>#REF!</v>
      </c>
      <c r="D34" s="15" t="e">
        <f>#REF!</f>
        <v>#REF!</v>
      </c>
      <c r="E34" s="10" t="e">
        <f t="shared" si="3"/>
        <v>#REF!</v>
      </c>
      <c r="F34" s="17" t="e">
        <f t="shared" si="4"/>
        <v>#REF!</v>
      </c>
      <c r="G34" s="18" t="e">
        <f t="shared" si="5"/>
        <v>#REF!</v>
      </c>
    </row>
    <row r="35" spans="2:7" ht="21" customHeight="1" x14ac:dyDescent="0.3">
      <c r="B35" s="13" t="s">
        <v>2</v>
      </c>
      <c r="C35" s="14" t="e">
        <f>#REF!</f>
        <v>#REF!</v>
      </c>
      <c r="D35" s="15" t="e">
        <f>#REF!</f>
        <v>#REF!</v>
      </c>
      <c r="E35" s="10" t="e">
        <f t="shared" si="3"/>
        <v>#REF!</v>
      </c>
      <c r="F35" s="17" t="e">
        <f t="shared" si="4"/>
        <v>#REF!</v>
      </c>
      <c r="G35" s="18" t="e">
        <f t="shared" si="5"/>
        <v>#REF!</v>
      </c>
    </row>
    <row r="36" spans="2:7" ht="21" customHeight="1" x14ac:dyDescent="0.3">
      <c r="B36" s="13" t="s">
        <v>3</v>
      </c>
      <c r="C36" s="14" t="e">
        <f>#REF!</f>
        <v>#REF!</v>
      </c>
      <c r="D36" s="15" t="e">
        <f>#REF!</f>
        <v>#REF!</v>
      </c>
      <c r="E36" s="10" t="e">
        <f t="shared" si="3"/>
        <v>#REF!</v>
      </c>
      <c r="F36" s="17" t="e">
        <f t="shared" si="4"/>
        <v>#REF!</v>
      </c>
      <c r="G36" s="18" t="e">
        <f t="shared" si="5"/>
        <v>#REF!</v>
      </c>
    </row>
    <row r="37" spans="2:7" ht="21" customHeight="1" x14ac:dyDescent="0.3">
      <c r="B37" s="13" t="s">
        <v>7</v>
      </c>
      <c r="C37" s="14" t="e">
        <f>#REF!</f>
        <v>#REF!</v>
      </c>
      <c r="D37" s="15" t="e">
        <f>#REF!</f>
        <v>#REF!</v>
      </c>
      <c r="E37" s="10" t="e">
        <f t="shared" si="3"/>
        <v>#REF!</v>
      </c>
      <c r="F37" s="17" t="e">
        <f t="shared" si="4"/>
        <v>#REF!</v>
      </c>
      <c r="G37" s="18" t="e">
        <f t="shared" si="5"/>
        <v>#REF!</v>
      </c>
    </row>
    <row r="38" spans="2:7" ht="21" customHeight="1" x14ac:dyDescent="0.3">
      <c r="B38" s="13" t="s">
        <v>1</v>
      </c>
      <c r="C38" s="14" t="e">
        <f>#REF!</f>
        <v>#REF!</v>
      </c>
      <c r="D38" s="15" t="e">
        <f>#REF!</f>
        <v>#REF!</v>
      </c>
      <c r="E38" s="10" t="e">
        <f t="shared" si="3"/>
        <v>#REF!</v>
      </c>
      <c r="F38" s="17" t="e">
        <f t="shared" si="4"/>
        <v>#REF!</v>
      </c>
      <c r="G38" s="18" t="e">
        <f t="shared" si="5"/>
        <v>#REF!</v>
      </c>
    </row>
    <row r="39" spans="2:7" ht="21" customHeight="1" x14ac:dyDescent="0.3">
      <c r="B39" s="13" t="s">
        <v>5</v>
      </c>
      <c r="C39" s="14" t="e">
        <f>#REF!</f>
        <v>#REF!</v>
      </c>
      <c r="D39" s="15" t="e">
        <f>#REF!</f>
        <v>#REF!</v>
      </c>
      <c r="E39" s="10" t="e">
        <f t="shared" si="3"/>
        <v>#REF!</v>
      </c>
      <c r="F39" s="17" t="e">
        <f t="shared" si="4"/>
        <v>#REF!</v>
      </c>
      <c r="G39" s="18" t="e">
        <f t="shared" si="5"/>
        <v>#REF!</v>
      </c>
    </row>
    <row r="40" spans="2:7" ht="21" customHeight="1" x14ac:dyDescent="0.3">
      <c r="B40" s="13" t="s">
        <v>4</v>
      </c>
      <c r="C40" s="14" t="e">
        <f>#REF!</f>
        <v>#REF!</v>
      </c>
      <c r="D40" s="15" t="e">
        <f>#REF!</f>
        <v>#REF!</v>
      </c>
      <c r="E40" s="10" t="e">
        <f t="shared" si="3"/>
        <v>#REF!</v>
      </c>
      <c r="F40" s="17" t="e">
        <f t="shared" si="4"/>
        <v>#REF!</v>
      </c>
      <c r="G40" s="18" t="e">
        <f t="shared" si="5"/>
        <v>#REF!</v>
      </c>
    </row>
  </sheetData>
  <mergeCells count="2">
    <mergeCell ref="B2:G2"/>
    <mergeCell ref="B22:G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29136-57E4-4006-B705-D7C918FCE0B6}">
  <dimension ref="B1:H39"/>
  <sheetViews>
    <sheetView showGridLines="0" tabSelected="1" zoomScale="94" zoomScaleNormal="88" zoomScalePageLayoutView="49" workbookViewId="0">
      <selection activeCell="D6" sqref="D6"/>
    </sheetView>
  </sheetViews>
  <sheetFormatPr defaultColWidth="8.69921875" defaultRowHeight="15.6" x14ac:dyDescent="0.3"/>
  <cols>
    <col min="1" max="1" width="6.09765625" style="2" customWidth="1"/>
    <col min="2" max="2" width="25.19921875" style="1" customWidth="1"/>
    <col min="3" max="3" width="124.19921875" style="2" customWidth="1"/>
    <col min="4" max="4" width="36" style="2" customWidth="1"/>
    <col min="5" max="5" width="119.5" style="2" hidden="1" customWidth="1"/>
    <col min="6" max="6" width="54.296875" customWidth="1"/>
    <col min="7" max="8" width="54.296875" style="2" hidden="1" customWidth="1"/>
    <col min="9" max="9" width="54.296875" style="2" customWidth="1"/>
    <col min="10" max="16384" width="8.69921875" style="2"/>
  </cols>
  <sheetData>
    <row r="1" spans="2:8" ht="19.8" customHeight="1" x14ac:dyDescent="0.3"/>
    <row r="2" spans="2:8" s="5" customFormat="1" ht="55.2" customHeight="1" x14ac:dyDescent="0.3">
      <c r="B2" s="61" t="s">
        <v>96</v>
      </c>
      <c r="C2" s="61"/>
      <c r="D2" s="61"/>
      <c r="E2" s="61"/>
    </row>
    <row r="3" spans="2:8" s="5" customFormat="1" ht="50.4" customHeight="1" x14ac:dyDescent="0.3">
      <c r="B3" s="56" t="s">
        <v>100</v>
      </c>
      <c r="C3" s="56"/>
      <c r="D3" s="56"/>
      <c r="E3" s="56"/>
    </row>
    <row r="4" spans="2:8" ht="19.95" customHeight="1" x14ac:dyDescent="0.3"/>
    <row r="5" spans="2:8" ht="33" customHeight="1" x14ac:dyDescent="0.3">
      <c r="B5" s="60" t="s">
        <v>91</v>
      </c>
      <c r="C5" s="60"/>
      <c r="D5" s="60"/>
    </row>
    <row r="6" spans="2:8" ht="33" customHeight="1" x14ac:dyDescent="0.3">
      <c r="B6" s="66" t="s">
        <v>92</v>
      </c>
      <c r="C6" s="62"/>
      <c r="D6" s="67" t="s">
        <v>93</v>
      </c>
    </row>
    <row r="7" spans="2:8" ht="19.95" customHeight="1" x14ac:dyDescent="0.3"/>
    <row r="8" spans="2:8" ht="33" customHeight="1" x14ac:dyDescent="0.3">
      <c r="B8" s="60" t="s">
        <v>70</v>
      </c>
      <c r="C8" s="60"/>
      <c r="D8" s="60"/>
      <c r="E8" s="60"/>
      <c r="G8" s="1"/>
    </row>
    <row r="9" spans="2:8" s="5" customFormat="1" ht="33" customHeight="1" x14ac:dyDescent="0.3">
      <c r="B9" s="45" t="s">
        <v>9</v>
      </c>
      <c r="C9" s="9" t="s">
        <v>95</v>
      </c>
      <c r="D9" s="45" t="s">
        <v>94</v>
      </c>
      <c r="E9" s="9" t="s">
        <v>43</v>
      </c>
    </row>
    <row r="10" spans="2:8" ht="33" customHeight="1" x14ac:dyDescent="0.3">
      <c r="B10" s="46" t="s">
        <v>28</v>
      </c>
      <c r="C10" s="52" t="s">
        <v>35</v>
      </c>
      <c r="D10" s="47" t="s">
        <v>68</v>
      </c>
      <c r="E10" s="41" t="s">
        <v>37</v>
      </c>
      <c r="G10" s="10" t="str">
        <f>VLOOKUP(D10,Refs!$A$1:$B$7,2,FALSE)</f>
        <v>N/A</v>
      </c>
      <c r="H10" s="44" t="str">
        <f t="shared" ref="H10:H16" si="0">IF(ISERROR(G10/4),"N/A",G10/"4")</f>
        <v>N/A</v>
      </c>
    </row>
    <row r="11" spans="2:8" ht="33" customHeight="1" x14ac:dyDescent="0.3">
      <c r="B11" s="46" t="s">
        <v>34</v>
      </c>
      <c r="C11" s="52" t="s">
        <v>33</v>
      </c>
      <c r="D11" s="47" t="s">
        <v>68</v>
      </c>
      <c r="E11" s="41" t="s">
        <v>36</v>
      </c>
      <c r="G11" s="10" t="str">
        <f>VLOOKUP(D11,Refs!$A$1:$B$7,2,FALSE)</f>
        <v>N/A</v>
      </c>
      <c r="H11" s="44" t="str">
        <f t="shared" si="0"/>
        <v>N/A</v>
      </c>
    </row>
    <row r="12" spans="2:8" ht="33" customHeight="1" x14ac:dyDescent="0.3">
      <c r="B12" s="46" t="s">
        <v>10</v>
      </c>
      <c r="C12" s="52" t="s">
        <v>29</v>
      </c>
      <c r="D12" s="47" t="s">
        <v>68</v>
      </c>
      <c r="E12" s="41" t="s">
        <v>38</v>
      </c>
      <c r="G12" s="10" t="str">
        <f>VLOOKUP(D12,Refs!$A$1:$B$7,2,FALSE)</f>
        <v>N/A</v>
      </c>
      <c r="H12" s="44" t="str">
        <f t="shared" si="0"/>
        <v>N/A</v>
      </c>
    </row>
    <row r="13" spans="2:8" ht="33" customHeight="1" x14ac:dyDescent="0.3">
      <c r="B13" s="46" t="s">
        <v>69</v>
      </c>
      <c r="C13" s="54" t="s">
        <v>30</v>
      </c>
      <c r="D13" s="47" t="s">
        <v>68</v>
      </c>
      <c r="E13" s="41" t="s">
        <v>41</v>
      </c>
      <c r="G13" s="10" t="str">
        <f>VLOOKUP(D13,Refs!$A$1:$B$7,2,FALSE)</f>
        <v>N/A</v>
      </c>
      <c r="H13" s="44" t="str">
        <f t="shared" si="0"/>
        <v>N/A</v>
      </c>
    </row>
    <row r="14" spans="2:8" ht="33" customHeight="1" x14ac:dyDescent="0.3">
      <c r="B14" s="46" t="s">
        <v>16</v>
      </c>
      <c r="C14" s="53" t="s">
        <v>13</v>
      </c>
      <c r="D14" s="47" t="s">
        <v>68</v>
      </c>
      <c r="E14" s="41" t="s">
        <v>39</v>
      </c>
      <c r="G14" s="10" t="str">
        <f>VLOOKUP(D14,Refs!$A$1:$B$7,2,FALSE)</f>
        <v>N/A</v>
      </c>
      <c r="H14" s="44" t="str">
        <f t="shared" si="0"/>
        <v>N/A</v>
      </c>
    </row>
    <row r="15" spans="2:8" ht="33" customHeight="1" x14ac:dyDescent="0.3">
      <c r="B15" s="46" t="s">
        <v>15</v>
      </c>
      <c r="C15" s="53" t="s">
        <v>14</v>
      </c>
      <c r="D15" s="47" t="s">
        <v>68</v>
      </c>
      <c r="E15" s="41" t="s">
        <v>40</v>
      </c>
      <c r="G15" s="10" t="str">
        <f>VLOOKUP(D15,Refs!$A$1:$B$7,2,FALSE)</f>
        <v>N/A</v>
      </c>
      <c r="H15" s="44" t="str">
        <f t="shared" si="0"/>
        <v>N/A</v>
      </c>
    </row>
    <row r="16" spans="2:8" ht="33" customHeight="1" x14ac:dyDescent="0.3">
      <c r="B16" s="46" t="s">
        <v>17</v>
      </c>
      <c r="C16" s="53" t="s">
        <v>82</v>
      </c>
      <c r="D16" s="47" t="s">
        <v>68</v>
      </c>
      <c r="E16" s="41" t="s">
        <v>42</v>
      </c>
      <c r="G16" s="10" t="str">
        <f>VLOOKUP(D16,Refs!$A$1:$B$7,2,FALSE)</f>
        <v>N/A</v>
      </c>
      <c r="H16" s="44" t="str">
        <f t="shared" si="0"/>
        <v>N/A</v>
      </c>
    </row>
    <row r="17" spans="2:8" ht="33" customHeight="1" x14ac:dyDescent="0.3">
      <c r="B17" s="48" t="s">
        <v>64</v>
      </c>
      <c r="C17" s="49"/>
      <c r="D17" s="51" t="str">
        <f>IF(COUNTIF(G10:G16,"&lt;&gt;N/A")=0,"Awaiting Score",SUM(G10:G16)/(COUNTIF(G10:G16,"&lt;&gt;N/A")*4))</f>
        <v>Awaiting Score</v>
      </c>
      <c r="E17" s="33"/>
      <c r="G17" s="1"/>
    </row>
    <row r="18" spans="2:8" ht="19.95" customHeight="1" x14ac:dyDescent="0.3">
      <c r="C18" s="1"/>
      <c r="D18" s="1"/>
      <c r="E18" s="1"/>
      <c r="G18" s="1"/>
    </row>
    <row r="19" spans="2:8" ht="33" customHeight="1" x14ac:dyDescent="0.3">
      <c r="B19" s="60" t="s">
        <v>71</v>
      </c>
      <c r="C19" s="60"/>
      <c r="D19" s="60"/>
      <c r="E19" s="60"/>
      <c r="G19" s="1"/>
    </row>
    <row r="20" spans="2:8" ht="33" customHeight="1" x14ac:dyDescent="0.3">
      <c r="B20" s="45" t="s">
        <v>9</v>
      </c>
      <c r="C20" s="9" t="s">
        <v>95</v>
      </c>
      <c r="D20" s="45" t="s">
        <v>94</v>
      </c>
      <c r="E20" s="9" t="s">
        <v>43</v>
      </c>
      <c r="G20" s="1"/>
    </row>
    <row r="21" spans="2:8" ht="33" customHeight="1" x14ac:dyDescent="0.3">
      <c r="B21" s="46" t="s">
        <v>18</v>
      </c>
      <c r="C21" s="52" t="s">
        <v>55</v>
      </c>
      <c r="D21" s="47" t="s">
        <v>68</v>
      </c>
      <c r="E21" s="41" t="s">
        <v>54</v>
      </c>
      <c r="G21" s="10" t="str">
        <f>VLOOKUP(D21,Refs!$A$1:$B$7,2,FALSE)</f>
        <v>N/A</v>
      </c>
      <c r="H21" s="44" t="str">
        <f t="shared" ref="H21:H27" si="1">IF(ISERROR(G21/4),"N/A",G21/"4")</f>
        <v>N/A</v>
      </c>
    </row>
    <row r="22" spans="2:8" ht="33" customHeight="1" x14ac:dyDescent="0.3">
      <c r="B22" s="46" t="s">
        <v>19</v>
      </c>
      <c r="C22" s="52" t="s">
        <v>31</v>
      </c>
      <c r="D22" s="47" t="s">
        <v>68</v>
      </c>
      <c r="E22" s="41" t="s">
        <v>60</v>
      </c>
      <c r="G22" s="10" t="str">
        <f>VLOOKUP(D22,Refs!$A$1:$B$7,2,FALSE)</f>
        <v>N/A</v>
      </c>
      <c r="H22" s="44" t="str">
        <f t="shared" si="1"/>
        <v>N/A</v>
      </c>
    </row>
    <row r="23" spans="2:8" ht="33" customHeight="1" x14ac:dyDescent="0.3">
      <c r="B23" s="46" t="s">
        <v>6</v>
      </c>
      <c r="C23" s="52" t="s">
        <v>102</v>
      </c>
      <c r="D23" s="47" t="s">
        <v>68</v>
      </c>
      <c r="E23" s="41" t="s">
        <v>50</v>
      </c>
      <c r="G23" s="10" t="str">
        <f>VLOOKUP(D23,Refs!$A$1:$B$7,2,FALSE)</f>
        <v>N/A</v>
      </c>
      <c r="H23" s="44" t="str">
        <f t="shared" si="1"/>
        <v>N/A</v>
      </c>
    </row>
    <row r="24" spans="2:8" ht="33" customHeight="1" x14ac:dyDescent="0.3">
      <c r="B24" s="46" t="s">
        <v>24</v>
      </c>
      <c r="C24" s="52" t="s">
        <v>23</v>
      </c>
      <c r="D24" s="47" t="s">
        <v>68</v>
      </c>
      <c r="E24" s="41" t="s">
        <v>51</v>
      </c>
      <c r="G24" s="10" t="str">
        <f>VLOOKUP(D24,Refs!$A$1:$B$7,2,FALSE)</f>
        <v>N/A</v>
      </c>
      <c r="H24" s="44" t="str">
        <f t="shared" si="1"/>
        <v>N/A</v>
      </c>
    </row>
    <row r="25" spans="2:8" ht="33" customHeight="1" x14ac:dyDescent="0.3">
      <c r="B25" s="46" t="s">
        <v>8</v>
      </c>
      <c r="C25" s="52" t="s">
        <v>26</v>
      </c>
      <c r="D25" s="47" t="s">
        <v>68</v>
      </c>
      <c r="E25" s="41" t="s">
        <v>61</v>
      </c>
      <c r="G25" s="10" t="str">
        <f>VLOOKUP(D25,Refs!$A$1:$B$7,2,FALSE)</f>
        <v>N/A</v>
      </c>
      <c r="H25" s="44" t="str">
        <f t="shared" si="1"/>
        <v>N/A</v>
      </c>
    </row>
    <row r="26" spans="2:8" ht="33" customHeight="1" x14ac:dyDescent="0.3">
      <c r="B26" s="46" t="s">
        <v>57</v>
      </c>
      <c r="C26" s="52" t="s">
        <v>25</v>
      </c>
      <c r="D26" s="47" t="s">
        <v>68</v>
      </c>
      <c r="E26" s="41" t="s">
        <v>52</v>
      </c>
      <c r="G26" s="10" t="str">
        <f>VLOOKUP(D26,Refs!$A$1:$B$7,2,FALSE)</f>
        <v>N/A</v>
      </c>
      <c r="H26" s="44" t="str">
        <f t="shared" si="1"/>
        <v>N/A</v>
      </c>
    </row>
    <row r="27" spans="2:8" ht="33" customHeight="1" x14ac:dyDescent="0.3">
      <c r="B27" s="46" t="s">
        <v>56</v>
      </c>
      <c r="C27" s="52" t="s">
        <v>27</v>
      </c>
      <c r="D27" s="47" t="s">
        <v>68</v>
      </c>
      <c r="E27" s="41" t="s">
        <v>53</v>
      </c>
      <c r="G27" s="10" t="str">
        <f>VLOOKUP(D27,Refs!$A$1:$B$7,2,FALSE)</f>
        <v>N/A</v>
      </c>
      <c r="H27" s="44" t="str">
        <f t="shared" si="1"/>
        <v>N/A</v>
      </c>
    </row>
    <row r="28" spans="2:8" ht="33" customHeight="1" x14ac:dyDescent="0.3">
      <c r="B28" s="48" t="s">
        <v>63</v>
      </c>
      <c r="C28" s="49"/>
      <c r="D28" s="50" t="str">
        <f>IF(COUNTIF(G21:G27,"&lt;&gt;N/A")=0,"Awaiting Score",SUM(G21:G27)/(COUNTIF(G21:G27,"&lt;&gt;N/A")*4))</f>
        <v>Awaiting Score</v>
      </c>
      <c r="E28" s="33"/>
      <c r="G28" s="1"/>
    </row>
    <row r="29" spans="2:8" ht="19.95" customHeight="1" x14ac:dyDescent="0.3">
      <c r="C29" s="1"/>
      <c r="D29" s="1"/>
      <c r="E29" s="1"/>
      <c r="G29" s="1"/>
    </row>
    <row r="30" spans="2:8" ht="33" customHeight="1" x14ac:dyDescent="0.3">
      <c r="B30" s="60" t="s">
        <v>72</v>
      </c>
      <c r="C30" s="60"/>
      <c r="D30" s="60"/>
      <c r="E30" s="60"/>
      <c r="G30" s="1"/>
    </row>
    <row r="31" spans="2:8" ht="33" customHeight="1" x14ac:dyDescent="0.3">
      <c r="B31" s="45" t="s">
        <v>9</v>
      </c>
      <c r="C31" s="9" t="s">
        <v>95</v>
      </c>
      <c r="D31" s="45" t="s">
        <v>94</v>
      </c>
      <c r="E31" s="9" t="s">
        <v>43</v>
      </c>
      <c r="G31" s="1"/>
    </row>
    <row r="32" spans="2:8" ht="33" customHeight="1" x14ac:dyDescent="0.3">
      <c r="B32" s="46" t="s">
        <v>2</v>
      </c>
      <c r="C32" s="52" t="s">
        <v>84</v>
      </c>
      <c r="D32" s="47" t="s">
        <v>68</v>
      </c>
      <c r="E32" s="41" t="s">
        <v>49</v>
      </c>
      <c r="G32" s="10" t="str">
        <f>VLOOKUP(D32,Refs!$A$1:$B$7,2,FALSE)</f>
        <v>N/A</v>
      </c>
      <c r="H32" s="44" t="str">
        <f>IF(ISERROR(G32/4),"N/A",G32/"4")</f>
        <v>N/A</v>
      </c>
    </row>
    <row r="33" spans="2:8" ht="33" customHeight="1" x14ac:dyDescent="0.3">
      <c r="B33" s="46" t="s">
        <v>3</v>
      </c>
      <c r="C33" s="52" t="s">
        <v>22</v>
      </c>
      <c r="D33" s="47" t="s">
        <v>68</v>
      </c>
      <c r="E33" s="41" t="s">
        <v>48</v>
      </c>
      <c r="G33" s="10" t="str">
        <f>VLOOKUP(D33,Refs!$A$1:$B$7,2,FALSE)</f>
        <v>N/A</v>
      </c>
      <c r="H33" s="44" t="str">
        <f t="shared" ref="H33:H37" si="2">IF(ISERROR(G33/4),"N/A",G33/"4")</f>
        <v>N/A</v>
      </c>
    </row>
    <row r="34" spans="2:8" ht="33" customHeight="1" x14ac:dyDescent="0.3">
      <c r="B34" s="46" t="s">
        <v>7</v>
      </c>
      <c r="C34" s="52" t="s">
        <v>32</v>
      </c>
      <c r="D34" s="47" t="s">
        <v>68</v>
      </c>
      <c r="E34" s="41" t="s">
        <v>47</v>
      </c>
      <c r="G34" s="10" t="str">
        <f>VLOOKUP(D34,Refs!$A$1:$B$7,2,FALSE)</f>
        <v>N/A</v>
      </c>
      <c r="H34" s="44" t="str">
        <f t="shared" si="2"/>
        <v>N/A</v>
      </c>
    </row>
    <row r="35" spans="2:8" ht="33" customHeight="1" x14ac:dyDescent="0.3">
      <c r="B35" s="46" t="s">
        <v>1</v>
      </c>
      <c r="C35" s="52" t="s">
        <v>75</v>
      </c>
      <c r="D35" s="47" t="s">
        <v>68</v>
      </c>
      <c r="E35" s="41" t="s">
        <v>46</v>
      </c>
      <c r="G35" s="10" t="str">
        <f>VLOOKUP(D35,Refs!$A$1:$B$7,2,FALSE)</f>
        <v>N/A</v>
      </c>
      <c r="H35" s="44" t="str">
        <f t="shared" si="2"/>
        <v>N/A</v>
      </c>
    </row>
    <row r="36" spans="2:8" ht="33" customHeight="1" x14ac:dyDescent="0.3">
      <c r="B36" s="46" t="s">
        <v>5</v>
      </c>
      <c r="C36" s="52" t="s">
        <v>83</v>
      </c>
      <c r="D36" s="47" t="s">
        <v>68</v>
      </c>
      <c r="E36" s="41" t="s">
        <v>45</v>
      </c>
      <c r="G36" s="10" t="str">
        <f>VLOOKUP(D36,Refs!$A$1:$B$7,2,FALSE)</f>
        <v>N/A</v>
      </c>
      <c r="H36" s="44" t="str">
        <f t="shared" si="2"/>
        <v>N/A</v>
      </c>
    </row>
    <row r="37" spans="2:8" ht="33" customHeight="1" x14ac:dyDescent="0.3">
      <c r="B37" s="46" t="s">
        <v>4</v>
      </c>
      <c r="C37" s="65" t="s">
        <v>104</v>
      </c>
      <c r="D37" s="47" t="s">
        <v>68</v>
      </c>
      <c r="E37" s="41" t="s">
        <v>44</v>
      </c>
      <c r="G37" s="10" t="str">
        <f>VLOOKUP(D37,Refs!$A$1:$B$7,2,FALSE)</f>
        <v>N/A</v>
      </c>
      <c r="H37" s="44" t="str">
        <f t="shared" si="2"/>
        <v>N/A</v>
      </c>
    </row>
    <row r="38" spans="2:8" ht="33" customHeight="1" x14ac:dyDescent="0.3">
      <c r="B38" s="48" t="s">
        <v>62</v>
      </c>
      <c r="C38" s="49"/>
      <c r="D38" s="50" t="str">
        <f>IF(COUNTIF(G32:G37,"&lt;&gt;N/A")=0,"Awaiting Score",SUM(G32:G37)/(COUNTIF(G32:G37,"&lt;&gt;N/A")*4))</f>
        <v>Awaiting Score</v>
      </c>
      <c r="E38" s="33"/>
      <c r="H38" s="20"/>
    </row>
    <row r="39" spans="2:8" ht="25.2" customHeight="1" x14ac:dyDescent="0.3"/>
  </sheetData>
  <sheetProtection algorithmName="SHA-512" hashValue="zZ2inIEUlaCkCkOVad68k3cd6hMoAc76Lvw+ehvhSUDTsfR3L5krUHxcSo7n1Cn4zmTCr5K9m3YNLmJhtHvlYA==" saltValue="qpaChRZO73sTr9wl/ZwaHw==" spinCount="100000" sheet="1" selectLockedCells="1"/>
  <mergeCells count="7">
    <mergeCell ref="B19:E19"/>
    <mergeCell ref="B30:E30"/>
    <mergeCell ref="B2:E2"/>
    <mergeCell ref="B8:E8"/>
    <mergeCell ref="B3:E3"/>
    <mergeCell ref="B5:D5"/>
    <mergeCell ref="B6:C6"/>
  </mergeCells>
  <conditionalFormatting sqref="D17">
    <cfRule type="cellIs" dxfId="25" priority="1" operator="greaterThan">
      <formula>0.8</formula>
    </cfRule>
    <cfRule type="cellIs" dxfId="24" priority="2" operator="greaterThan">
      <formula>0.6</formula>
    </cfRule>
    <cfRule type="cellIs" dxfId="23" priority="3" operator="greaterThan">
      <formula>0.4</formula>
    </cfRule>
    <cfRule type="cellIs" dxfId="22" priority="4" operator="greaterThan">
      <formula>0.2</formula>
    </cfRule>
    <cfRule type="cellIs" dxfId="21" priority="5" operator="greaterThanOrEqual">
      <formula>0</formula>
    </cfRule>
  </conditionalFormatting>
  <conditionalFormatting sqref="D28">
    <cfRule type="cellIs" dxfId="20" priority="6" operator="greaterThan">
      <formula>0.8</formula>
    </cfRule>
    <cfRule type="cellIs" dxfId="19" priority="7" operator="greaterThan">
      <formula>0.6</formula>
    </cfRule>
    <cfRule type="cellIs" dxfId="18" priority="8" operator="greaterThan">
      <formula>0.4</formula>
    </cfRule>
    <cfRule type="cellIs" dxfId="17" priority="9" operator="greaterThan">
      <formula>0.2</formula>
    </cfRule>
    <cfRule type="cellIs" dxfId="16" priority="10" operator="greaterThanOrEqual">
      <formula>0</formula>
    </cfRule>
  </conditionalFormatting>
  <conditionalFormatting sqref="D38">
    <cfRule type="cellIs" dxfId="15" priority="11" operator="greaterThan">
      <formula>0.8</formula>
    </cfRule>
    <cfRule type="cellIs" dxfId="14" priority="12" operator="greaterThan">
      <formula>0.6</formula>
    </cfRule>
    <cfRule type="cellIs" dxfId="13" priority="13" operator="greaterThan">
      <formula>0.4</formula>
    </cfRule>
    <cfRule type="cellIs" dxfId="12" priority="14" operator="greaterThan">
      <formula>0.2</formula>
    </cfRule>
    <cfRule type="cellIs" dxfId="11" priority="15" operator="greaterThanOrEqual">
      <formula>0</formula>
    </cfRule>
  </conditionalFormatting>
  <dataValidations count="1">
    <dataValidation type="list" allowBlank="1" showInputMessage="1" showErrorMessage="1" sqref="D32:D37 D21:D27 D10:D16" xr:uid="{CCC96DD0-45A4-46C6-B272-97A030FB27A6}">
      <formula1>score</formula1>
    </dataValidation>
  </dataValidations>
  <pageMargins left="0.7" right="0.7" top="0.75" bottom="0.75" header="0.3" footer="0.3"/>
  <pageSetup scale="3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E4E8C-D1F8-4AC6-8F6A-A96B8CABC98B}">
  <sheetPr>
    <pageSetUpPr fitToPage="1"/>
  </sheetPr>
  <dimension ref="B1:P36"/>
  <sheetViews>
    <sheetView showGridLines="0" zoomScale="88" zoomScaleNormal="100" workbookViewId="0">
      <selection activeCell="C5" sqref="C5"/>
    </sheetView>
  </sheetViews>
  <sheetFormatPr defaultColWidth="8.69921875" defaultRowHeight="15.6" x14ac:dyDescent="0.3"/>
  <cols>
    <col min="1" max="1" width="7.09765625" customWidth="1"/>
    <col min="2" max="2" width="39.8984375" customWidth="1"/>
    <col min="3" max="3" width="16.3984375" style="7" customWidth="1"/>
    <col min="13" max="13" width="13.3984375" customWidth="1"/>
    <col min="14" max="14" width="7.09765625" customWidth="1"/>
  </cols>
  <sheetData>
    <row r="1" spans="2:16" ht="16.95" customHeight="1" x14ac:dyDescent="0.3"/>
    <row r="2" spans="2:16" ht="54.6" customHeight="1" x14ac:dyDescent="0.3">
      <c r="B2" s="64" t="s">
        <v>96</v>
      </c>
      <c r="C2" s="64"/>
      <c r="D2" s="64"/>
      <c r="E2" s="64"/>
      <c r="F2" s="64"/>
      <c r="G2" s="64"/>
      <c r="H2" s="64"/>
      <c r="I2" s="64"/>
      <c r="J2" s="64"/>
      <c r="K2" s="64"/>
      <c r="L2" s="64"/>
      <c r="M2" s="64"/>
      <c r="N2" s="64"/>
      <c r="O2" s="64"/>
      <c r="P2" s="64"/>
    </row>
    <row r="3" spans="2:16" ht="46.95" customHeight="1" x14ac:dyDescent="0.3">
      <c r="B3" s="63" t="str">
        <f>Instructions!B7 &amp; " Sustainability Scorecard for " &amp;'Self Assessment'!D6</f>
        <v xml:space="preserve"> Sustainability Scorecard for Example Company</v>
      </c>
      <c r="C3" s="63"/>
      <c r="D3" s="63"/>
      <c r="E3" s="63"/>
      <c r="F3" s="63"/>
      <c r="G3" s="63"/>
      <c r="H3" s="63"/>
      <c r="I3" s="63"/>
      <c r="J3" s="63"/>
      <c r="K3" s="63"/>
      <c r="L3" s="63"/>
      <c r="M3" s="63"/>
      <c r="N3" s="63"/>
      <c r="O3" s="63"/>
      <c r="P3" s="63"/>
    </row>
    <row r="4" spans="2:16" ht="16.2" customHeight="1" thickBot="1" x14ac:dyDescent="0.35">
      <c r="B4" s="21"/>
      <c r="C4"/>
    </row>
    <row r="5" spans="2:16" ht="23.4" customHeight="1" thickBot="1" x14ac:dyDescent="0.35">
      <c r="B5" s="23" t="s">
        <v>79</v>
      </c>
      <c r="C5" s="24" t="e">
        <f>IF(C30&gt;=0.8, "Rated A", IF(C30&gt;0.6, "Rated B", IF(C30&gt;0.4, "Rated C", IF(C30&gt;0.2, "Rated D",IF(C30&gt;0, "Satisfactory", "Rated E")))))</f>
        <v>#DIV/0!</v>
      </c>
    </row>
    <row r="6" spans="2:16" ht="16.2" customHeight="1" thickBot="1" x14ac:dyDescent="0.35">
      <c r="B6" s="22"/>
      <c r="C6" s="22"/>
    </row>
    <row r="7" spans="2:16" ht="16.95" customHeight="1" thickBot="1" x14ac:dyDescent="0.35">
      <c r="B7" s="29" t="s">
        <v>76</v>
      </c>
      <c r="C7" s="30" t="str">
        <f>'Self Assessment'!D17</f>
        <v>Awaiting Score</v>
      </c>
    </row>
    <row r="8" spans="2:16" ht="16.95" customHeight="1" x14ac:dyDescent="0.3">
      <c r="B8" s="27" t="str">
        <f>'Self Assessment'!B10</f>
        <v>Strategic Alignment</v>
      </c>
      <c r="C8" s="28" t="str">
        <f>'Self Assessment'!H10</f>
        <v>N/A</v>
      </c>
    </row>
    <row r="9" spans="2:16" ht="16.95" customHeight="1" x14ac:dyDescent="0.3">
      <c r="B9" s="25" t="str">
        <f>'Self Assessment'!B11</f>
        <v>Integrated Planning</v>
      </c>
      <c r="C9" s="26" t="str">
        <f>'Self Assessment'!H11</f>
        <v>N/A</v>
      </c>
    </row>
    <row r="10" spans="2:16" ht="16.95" customHeight="1" x14ac:dyDescent="0.3">
      <c r="B10" s="25" t="str">
        <f>'Self Assessment'!B12</f>
        <v>Reporting and Transparency</v>
      </c>
      <c r="C10" s="26" t="str">
        <f>'Self Assessment'!H12</f>
        <v>N/A</v>
      </c>
    </row>
    <row r="11" spans="2:16" ht="16.95" customHeight="1" x14ac:dyDescent="0.3">
      <c r="B11" s="25" t="str">
        <f>'Self Assessment'!B13</f>
        <v>Procurement</v>
      </c>
      <c r="C11" s="26" t="str">
        <f>'Self Assessment'!H13</f>
        <v>N/A</v>
      </c>
    </row>
    <row r="12" spans="2:16" ht="16.95" customHeight="1" x14ac:dyDescent="0.3">
      <c r="B12" s="25" t="str">
        <f>'Self Assessment'!B14</f>
        <v>Fraud and Corruption</v>
      </c>
      <c r="C12" s="26" t="str">
        <f>'Self Assessment'!H14</f>
        <v>N/A</v>
      </c>
    </row>
    <row r="13" spans="2:16" ht="16.95" customHeight="1" x14ac:dyDescent="0.3">
      <c r="B13" s="25" t="str">
        <f>'Self Assessment'!B15</f>
        <v>Data Privacy</v>
      </c>
      <c r="C13" s="26" t="str">
        <f>'Self Assessment'!H15</f>
        <v>N/A</v>
      </c>
    </row>
    <row r="14" spans="2:16" ht="16.95" customHeight="1" thickBot="1" x14ac:dyDescent="0.35">
      <c r="B14" s="31" t="str">
        <f>'Self Assessment'!B16</f>
        <v>Modern Slavery</v>
      </c>
      <c r="C14" s="32" t="str">
        <f>'Self Assessment'!H16</f>
        <v>N/A</v>
      </c>
    </row>
    <row r="15" spans="2:16" ht="16.95" customHeight="1" thickBot="1" x14ac:dyDescent="0.35">
      <c r="B15" s="29" t="s">
        <v>77</v>
      </c>
      <c r="C15" s="30" t="str">
        <f>'Self Assessment'!D28</f>
        <v>Awaiting Score</v>
      </c>
    </row>
    <row r="16" spans="2:16" ht="16.95" customHeight="1" x14ac:dyDescent="0.3">
      <c r="B16" s="27" t="str">
        <f>'Self Assessment'!B21</f>
        <v>Labour Practices</v>
      </c>
      <c r="C16" s="28" t="str">
        <f>'Self Assessment'!H21</f>
        <v>N/A</v>
      </c>
    </row>
    <row r="17" spans="2:3" ht="16.95" customHeight="1" x14ac:dyDescent="0.3">
      <c r="B17" s="25" t="str">
        <f>'Self Assessment'!B22</f>
        <v>Employee Representation</v>
      </c>
      <c r="C17" s="26" t="str">
        <f>'Self Assessment'!H22</f>
        <v>N/A</v>
      </c>
    </row>
    <row r="18" spans="2:3" ht="16.95" customHeight="1" x14ac:dyDescent="0.3">
      <c r="B18" s="25" t="str">
        <f>'Self Assessment'!B23</f>
        <v>Training and Development</v>
      </c>
      <c r="C18" s="26" t="str">
        <f>'Self Assessment'!H23</f>
        <v>N/A</v>
      </c>
    </row>
    <row r="19" spans="2:3" ht="16.95" customHeight="1" x14ac:dyDescent="0.3">
      <c r="B19" s="25" t="str">
        <f>'Self Assessment'!B24</f>
        <v>Fair Compensation</v>
      </c>
      <c r="C19" s="26" t="str">
        <f>'Self Assessment'!H24</f>
        <v>N/A</v>
      </c>
    </row>
    <row r="20" spans="2:3" ht="16.95" customHeight="1" x14ac:dyDescent="0.3">
      <c r="B20" s="25" t="str">
        <f>'Self Assessment'!B25</f>
        <v>Health and Wellbeing</v>
      </c>
      <c r="C20" s="26" t="str">
        <f>'Self Assessment'!H25</f>
        <v>N/A</v>
      </c>
    </row>
    <row r="21" spans="2:3" ht="16.95" customHeight="1" x14ac:dyDescent="0.3">
      <c r="B21" s="25" t="str">
        <f>'Self Assessment'!B26</f>
        <v>Diversity and Equality</v>
      </c>
      <c r="C21" s="26" t="str">
        <f>'Self Assessment'!H26</f>
        <v>N/A</v>
      </c>
    </row>
    <row r="22" spans="2:3" ht="16.95" customHeight="1" thickBot="1" x14ac:dyDescent="0.35">
      <c r="B22" s="31" t="str">
        <f>'Self Assessment'!B27</f>
        <v>Local Communities</v>
      </c>
      <c r="C22" s="32" t="str">
        <f>'Self Assessment'!H27</f>
        <v>N/A</v>
      </c>
    </row>
    <row r="23" spans="2:3" ht="16.95" customHeight="1" thickBot="1" x14ac:dyDescent="0.35">
      <c r="B23" s="29" t="s">
        <v>78</v>
      </c>
      <c r="C23" s="30" t="str">
        <f>'Self Assessment'!D38</f>
        <v>Awaiting Score</v>
      </c>
    </row>
    <row r="24" spans="2:3" ht="16.95" customHeight="1" x14ac:dyDescent="0.3">
      <c r="B24" s="27" t="str">
        <f>'Self Assessment'!B32</f>
        <v>Energy</v>
      </c>
      <c r="C24" s="28" t="str">
        <f>'Self Assessment'!H32</f>
        <v>N/A</v>
      </c>
    </row>
    <row r="25" spans="2:3" ht="16.95" customHeight="1" x14ac:dyDescent="0.3">
      <c r="B25" s="25" t="str">
        <f>'Self Assessment'!B33</f>
        <v>Emissions</v>
      </c>
      <c r="C25" s="26" t="str">
        <f>'Self Assessment'!H33</f>
        <v>N/A</v>
      </c>
    </row>
    <row r="26" spans="2:3" ht="16.95" customHeight="1" x14ac:dyDescent="0.3">
      <c r="B26" s="25" t="str">
        <f>'Self Assessment'!B34</f>
        <v>Water and Effluents</v>
      </c>
      <c r="C26" s="26" t="str">
        <f>'Self Assessment'!H34</f>
        <v>N/A</v>
      </c>
    </row>
    <row r="27" spans="2:3" ht="16.95" customHeight="1" x14ac:dyDescent="0.3">
      <c r="B27" s="25" t="str">
        <f>'Self Assessment'!B35</f>
        <v>Waste</v>
      </c>
      <c r="C27" s="26" t="str">
        <f>'Self Assessment'!H35</f>
        <v>N/A</v>
      </c>
    </row>
    <row r="28" spans="2:3" ht="16.95" customHeight="1" x14ac:dyDescent="0.3">
      <c r="B28" s="25" t="str">
        <f>'Self Assessment'!B36</f>
        <v>Materials</v>
      </c>
      <c r="C28" s="26" t="str">
        <f>'Self Assessment'!H36</f>
        <v>N/A</v>
      </c>
    </row>
    <row r="29" spans="2:3" ht="16.95" customHeight="1" thickBot="1" x14ac:dyDescent="0.35">
      <c r="B29" s="31" t="str">
        <f>'Self Assessment'!B37</f>
        <v>Biodiversity</v>
      </c>
      <c r="C29" s="32" t="str">
        <f>'Self Assessment'!H37</f>
        <v>N/A</v>
      </c>
    </row>
    <row r="30" spans="2:3" ht="16.95" customHeight="1" thickBot="1" x14ac:dyDescent="0.35">
      <c r="B30" s="29" t="s">
        <v>12</v>
      </c>
      <c r="C30" s="30" t="e">
        <f>SUM('Self Assessment'!G10:G37)/((COUNTIF('Self Assessment'!G10:G16,"&lt;&gt;N/A")*4)+(COUNTIF('Self Assessment'!G21:G27,"&lt;&gt;N/A")*4)+(COUNTIF('Self Assessment'!G32:G37,"&lt;&gt;N/A")*4))</f>
        <v>#DIV/0!</v>
      </c>
    </row>
    <row r="31" spans="2:3" x14ac:dyDescent="0.3">
      <c r="C31"/>
    </row>
    <row r="36" spans="2:2" x14ac:dyDescent="0.3">
      <c r="B36" s="42"/>
    </row>
  </sheetData>
  <sheetProtection algorithmName="SHA-512" hashValue="8qi3e//DZf7GMNcqB8xUlIDPVOqx1AxvfqjEv7ms7pqC7ySoushi1QCNNp8TOCxKvlveNZU0f0mfvAe73q5x4g==" saltValue="x34xDk3Hml+7GOfG6e//NA==" spinCount="100000" sheet="1" objects="1" scenarios="1" selectLockedCells="1" selectUnlockedCells="1"/>
  <mergeCells count="2">
    <mergeCell ref="B3:P3"/>
    <mergeCell ref="B2:P2"/>
  </mergeCells>
  <conditionalFormatting sqref="C5">
    <cfRule type="cellIs" dxfId="10" priority="2" operator="equal">
      <formula>"Rated E"</formula>
    </cfRule>
    <cfRule type="cellIs" dxfId="9" priority="3" operator="equal">
      <formula>"Rated D"</formula>
    </cfRule>
    <cfRule type="cellIs" dxfId="8" priority="4" operator="equal">
      <formula>"Rated C"</formula>
    </cfRule>
    <cfRule type="cellIs" dxfId="7" priority="5" operator="equal">
      <formula>"Rated A"</formula>
    </cfRule>
    <cfRule type="cellIs" dxfId="6" priority="6" operator="equal">
      <formula>"Rated B"</formula>
    </cfRule>
  </conditionalFormatting>
  <conditionalFormatting sqref="C8:C14 C16:C22 C24:C29">
    <cfRule type="cellIs" dxfId="5" priority="1" operator="equal">
      <formula>""</formula>
    </cfRule>
    <cfRule type="cellIs" dxfId="4" priority="7" operator="greaterThan">
      <formula>0.8</formula>
    </cfRule>
    <cfRule type="cellIs" dxfId="3" priority="8" operator="greaterThan">
      <formula>0.6</formula>
    </cfRule>
    <cfRule type="cellIs" dxfId="2" priority="9" operator="greaterThan">
      <formula>0.4</formula>
    </cfRule>
    <cfRule type="cellIs" dxfId="1" priority="10" operator="greaterThan">
      <formula>0.2</formula>
    </cfRule>
    <cfRule type="cellIs" dxfId="0" priority="11" operator="greaterThanOrEqual">
      <formula>0</formula>
    </cfRule>
  </conditionalFormatting>
  <pageMargins left="0.7" right="0.7" top="0.75" bottom="0.75" header="0.3" footer="0.3"/>
  <pageSetup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2C6C-3588-47A1-ADD4-99BC4832166B}">
  <dimension ref="A1:E24"/>
  <sheetViews>
    <sheetView workbookViewId="0">
      <selection activeCell="A6" sqref="A6"/>
    </sheetView>
  </sheetViews>
  <sheetFormatPr defaultRowHeight="15.6" x14ac:dyDescent="0.3"/>
  <cols>
    <col min="1" max="1" width="51.19921875" style="3" customWidth="1"/>
    <col min="2" max="2" width="6.3984375" style="3" customWidth="1"/>
    <col min="4" max="4" width="23.59765625" customWidth="1"/>
  </cols>
  <sheetData>
    <row r="1" spans="1:5" ht="20.399999999999999" customHeight="1" x14ac:dyDescent="0.3">
      <c r="A1" s="3" t="s">
        <v>68</v>
      </c>
      <c r="B1" s="3" t="s">
        <v>11</v>
      </c>
      <c r="C1">
        <v>2024</v>
      </c>
      <c r="D1" s="8"/>
      <c r="E1" s="43"/>
    </row>
    <row r="2" spans="1:5" ht="20.399999999999999" customHeight="1" x14ac:dyDescent="0.3">
      <c r="A2" s="8" t="s">
        <v>89</v>
      </c>
      <c r="B2" s="3">
        <v>4</v>
      </c>
      <c r="C2">
        <v>2025</v>
      </c>
      <c r="D2" s="8"/>
      <c r="E2" s="43"/>
    </row>
    <row r="3" spans="1:5" ht="20.399999999999999" customHeight="1" x14ac:dyDescent="0.3">
      <c r="A3" s="8" t="s">
        <v>85</v>
      </c>
      <c r="B3" s="3">
        <v>3</v>
      </c>
      <c r="C3">
        <v>2026</v>
      </c>
      <c r="D3" s="8"/>
      <c r="E3" s="43"/>
    </row>
    <row r="4" spans="1:5" ht="20.399999999999999" customHeight="1" x14ac:dyDescent="0.3">
      <c r="A4" s="8" t="s">
        <v>86</v>
      </c>
      <c r="B4" s="3">
        <v>2</v>
      </c>
      <c r="C4">
        <v>2027</v>
      </c>
      <c r="D4" s="8"/>
      <c r="E4" s="43"/>
    </row>
    <row r="5" spans="1:5" ht="20.399999999999999" customHeight="1" x14ac:dyDescent="0.3">
      <c r="A5" s="8" t="s">
        <v>87</v>
      </c>
      <c r="B5" s="3">
        <v>1</v>
      </c>
      <c r="C5">
        <v>2028</v>
      </c>
      <c r="D5" s="8"/>
      <c r="E5" s="43"/>
    </row>
    <row r="6" spans="1:5" ht="20.399999999999999" customHeight="1" x14ac:dyDescent="0.3">
      <c r="A6" s="8" t="s">
        <v>88</v>
      </c>
      <c r="B6" s="3">
        <v>0</v>
      </c>
      <c r="C6">
        <v>2029</v>
      </c>
      <c r="D6" s="8"/>
      <c r="E6" s="43"/>
    </row>
    <row r="7" spans="1:5" ht="20.399999999999999" customHeight="1" x14ac:dyDescent="0.3">
      <c r="A7" s="8" t="s">
        <v>90</v>
      </c>
      <c r="B7" s="3" t="s">
        <v>11</v>
      </c>
      <c r="C7">
        <v>2030</v>
      </c>
      <c r="D7" s="8"/>
      <c r="E7" s="43"/>
    </row>
    <row r="8" spans="1:5" ht="20.399999999999999" customHeight="1" x14ac:dyDescent="0.3">
      <c r="D8" s="8"/>
      <c r="E8" s="43"/>
    </row>
    <row r="9" spans="1:5" x14ac:dyDescent="0.3">
      <c r="D9" s="8"/>
    </row>
    <row r="19" spans="4:5" x14ac:dyDescent="0.3">
      <c r="D19" s="8"/>
      <c r="E19" s="43"/>
    </row>
    <row r="20" spans="4:5" x14ac:dyDescent="0.3">
      <c r="D20" s="8"/>
      <c r="E20" s="43"/>
    </row>
    <row r="21" spans="4:5" x14ac:dyDescent="0.3">
      <c r="D21" s="8"/>
      <c r="E21" s="43"/>
    </row>
    <row r="22" spans="4:5" x14ac:dyDescent="0.3">
      <c r="D22" s="8"/>
      <c r="E22" s="43"/>
    </row>
    <row r="23" spans="4:5" x14ac:dyDescent="0.3">
      <c r="D23" s="8"/>
      <c r="E23" s="43"/>
    </row>
    <row r="24" spans="4:5" x14ac:dyDescent="0.3">
      <c r="D24"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025B91E9415147A4B6957E6DCA6338" ma:contentTypeVersion="17" ma:contentTypeDescription="Create a new document." ma:contentTypeScope="" ma:versionID="53c314ddbc74e95ad08a34a7d15d8c67">
  <xsd:schema xmlns:xsd="http://www.w3.org/2001/XMLSchema" xmlns:xs="http://www.w3.org/2001/XMLSchema" xmlns:p="http://schemas.microsoft.com/office/2006/metadata/properties" xmlns:ns3="71501e6d-6970-4eac-962e-330e0b555b28" xmlns:ns4="d88b3423-c7b6-46fc-992c-e4274329ee13" targetNamespace="http://schemas.microsoft.com/office/2006/metadata/properties" ma:root="true" ma:fieldsID="d53a1036d4e4d1cf75dc450e49e41aa0" ns3:_="" ns4:_="">
    <xsd:import namespace="71501e6d-6970-4eac-962e-330e0b555b28"/>
    <xsd:import namespace="d88b3423-c7b6-46fc-992c-e4274329ee1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501e6d-6970-4eac-962e-330e0b555b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8b3423-c7b6-46fc-992c-e4274329ee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1501e6d-6970-4eac-962e-330e0b555b28" xsi:nil="true"/>
  </documentManagement>
</p:properties>
</file>

<file path=customXml/itemProps1.xml><?xml version="1.0" encoding="utf-8"?>
<ds:datastoreItem xmlns:ds="http://schemas.openxmlformats.org/officeDocument/2006/customXml" ds:itemID="{9D925C18-35A8-4802-9760-F121B1B6BC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501e6d-6970-4eac-962e-330e0b555b28"/>
    <ds:schemaRef ds:uri="d88b3423-c7b6-46fc-992c-e4274329ee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2D8D00-261C-4522-9847-EAF549BA2445}">
  <ds:schemaRefs>
    <ds:schemaRef ds:uri="http://schemas.microsoft.com/sharepoint/v3/contenttype/forms"/>
  </ds:schemaRefs>
</ds:datastoreItem>
</file>

<file path=customXml/itemProps3.xml><?xml version="1.0" encoding="utf-8"?>
<ds:datastoreItem xmlns:ds="http://schemas.openxmlformats.org/officeDocument/2006/customXml" ds:itemID="{98BCD57F-874E-45DB-8E64-15C465B61AC5}">
  <ds:schemaRefs>
    <ds:schemaRef ds:uri="http://purl.org/dc/dcmitype/"/>
    <ds:schemaRef ds:uri="71501e6d-6970-4eac-962e-330e0b555b28"/>
    <ds:schemaRef ds:uri="http://schemas.microsoft.com/office/2006/metadata/properties"/>
    <ds:schemaRef ds:uri="http://schemas.microsoft.com/office/2006/documentManagement/types"/>
    <ds:schemaRef ds:uri="http://purl.org/dc/elements/1.1/"/>
    <ds:schemaRef ds:uri="http://www.w3.org/XML/1998/namespace"/>
    <ds:schemaRef ds:uri="http://schemas.openxmlformats.org/package/2006/metadata/core-properties"/>
    <ds:schemaRef ds:uri="http://schemas.microsoft.com/office/infopath/2007/PartnerControls"/>
    <ds:schemaRef ds:uri="d88b3423-c7b6-46fc-992c-e4274329ee13"/>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 Page</vt:lpstr>
      <vt:lpstr>Instructions</vt:lpstr>
      <vt:lpstr>Scores</vt:lpstr>
      <vt:lpstr>Self Assessment</vt:lpstr>
      <vt:lpstr>Report</vt:lpstr>
      <vt:lpstr>Refs</vt:lpstr>
      <vt:lpstr>dropdown</vt:lpstr>
      <vt:lpst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Derrick</dc:creator>
  <cp:lastModifiedBy>simon derrick</cp:lastModifiedBy>
  <cp:lastPrinted>2025-03-18T17:08:24Z</cp:lastPrinted>
  <dcterms:created xsi:type="dcterms:W3CDTF">2023-07-28T11:51:03Z</dcterms:created>
  <dcterms:modified xsi:type="dcterms:W3CDTF">2025-08-12T10:37:02Z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0x01010030025B91E9415147A4B6957E6DCA6338</vt:lpwstr>
  </property>
</Properties>
</file>